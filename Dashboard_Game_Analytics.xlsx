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D:\kuli p\aokaok\port\port 1\"/>
    </mc:Choice>
  </mc:AlternateContent>
  <xr:revisionPtr revIDLastSave="0" documentId="13_ncr:1_{86C4BE3E-C94B-4C40-8932-3E2E08A840C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" sheetId="9" r:id="rId1"/>
    <sheet name="GenreSummary" sheetId="8" r:id="rId2"/>
    <sheet name="CountrySummary" sheetId="7" r:id="rId3"/>
    <sheet name="DevicePerformance" sheetId="5" r:id="rId4"/>
    <sheet name="MonthlyTrend" sheetId="4" r:id="rId5"/>
    <sheet name="TopSpenders" sheetId="2" r:id="rId6"/>
  </sheets>
  <definedNames>
    <definedName name="ExternalData_1" localSheetId="5" hidden="1">TopSpenders!$A$1:$E$11</definedName>
    <definedName name="ExternalData_3" localSheetId="4" hidden="1">MonthlyTrend!$A$1:$C$9</definedName>
    <definedName name="ExternalData_4" localSheetId="3" hidden="1">DevicePerformance!$A$1:$D$4</definedName>
    <definedName name="ExternalData_6" localSheetId="2" hidden="1">CountrySummary!$A$1:$D$29</definedName>
    <definedName name="ExternalData_7" localSheetId="1" hidden="1">GenreSummary!$A$1:$D$17</definedName>
  </definedNames>
  <calcPr calcId="162913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524786-2379-4ACD-ACC6-1F9B643BAAFA}" keepAlive="1" name="Query - q6" description="Connection to the 'q6' query in the workbook." type="5" refreshedVersion="8" background="1" saveData="1">
    <dbPr connection="Provider=Microsoft.Mashup.OleDb.1;Data Source=$Workbook$;Location=q6;Extended Properties=&quot;&quot;" command="SELECT * FROM [q6]"/>
  </connection>
  <connection id="2" xr16:uid="{7F5502C4-E175-48E9-BF9D-BF8E90ED88C8}" keepAlive="1" name="Query - q7" description="Connection to the 'q7' query in the workbook." type="5" refreshedVersion="8" background="1" saveData="1">
    <dbPr connection="Provider=Microsoft.Mashup.OleDb.1;Data Source=$Workbook$;Location=q7;Extended Properties=&quot;&quot;" command="SELECT * FROM [q7]"/>
  </connection>
  <connection id="3" xr16:uid="{58FC488B-2C04-4951-81DE-905D7BA393A0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4" xr16:uid="{20C6378D-D68C-499B-BB6F-7C693A3925C5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5" xr16:uid="{68322BB1-C6B6-4483-9BFF-E37B9DD63141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6" xr16:uid="{49C9453E-7C82-4123-AF80-F43788B4BB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7" xr16:uid="{EB18C53E-562F-4B7C-ABD0-3B7D7C79F97F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<sst xmlns="http://schemas.openxmlformats.org/spreadsheetml/2006/main" count="143" uniqueCount="78">
  <si>
    <t>UserID</t>
  </si>
  <si>
    <t>Country</t>
  </si>
  <si>
    <t>GameGenre</t>
  </si>
  <si>
    <t>Age_Bucket</t>
  </si>
  <si>
    <t>Total_Spent</t>
  </si>
  <si>
    <t>b5c61dc0-138d-4d49-ae4a-c4ca75787cb2</t>
  </si>
  <si>
    <t>Afghanistan</t>
  </si>
  <si>
    <t>Strategy</t>
  </si>
  <si>
    <t>Mature</t>
  </si>
  <si>
    <t>9ce85d56-3f8f-431a-b0bf-eec096811b39</t>
  </si>
  <si>
    <t>Iran</t>
  </si>
  <si>
    <t>Battle Royale</t>
  </si>
  <si>
    <t>Teen</t>
  </si>
  <si>
    <t>a8881761-c5ca-4ded-ad96-81e76b2f04e1</t>
  </si>
  <si>
    <t>Denmark</t>
  </si>
  <si>
    <t>Adventure</t>
  </si>
  <si>
    <t>Adult</t>
  </si>
  <si>
    <t>3adbf004-12bb-4abc-985a-ec2c3e399704</t>
  </si>
  <si>
    <t>Russia</t>
  </si>
  <si>
    <t>MMORPG</t>
  </si>
  <si>
    <t>a9f827e9-f212-47ab-8c8a-81e6b6d7145d</t>
  </si>
  <si>
    <t>Simulation</t>
  </si>
  <si>
    <t>69221c7c-c50f-4b3f-a67f-3c1450e4f6d8</t>
  </si>
  <si>
    <t>Canada</t>
  </si>
  <si>
    <t>MOBA</t>
  </si>
  <si>
    <t>af42adc7-ff91-418f-935e-b3b2d0827a45</t>
  </si>
  <si>
    <t>Bangladesh</t>
  </si>
  <si>
    <t>Fighting</t>
  </si>
  <si>
    <t>56824487-498c-4c14-a94b-1bf6e680769c</t>
  </si>
  <si>
    <t>India</t>
  </si>
  <si>
    <t>Young Adult</t>
  </si>
  <si>
    <t>cb7c4c69-eda2-4c2a-a4f2-45f16a8bf100</t>
  </si>
  <si>
    <t>Role Playing</t>
  </si>
  <si>
    <t>2fb25fed-3e11-4d61-860a-db76c61cb308</t>
  </si>
  <si>
    <t>Italy</t>
  </si>
  <si>
    <t>Total_Users</t>
  </si>
  <si>
    <t>Total_Revenue</t>
  </si>
  <si>
    <t>ARPU</t>
  </si>
  <si>
    <t>Minnow</t>
  </si>
  <si>
    <t>Netherlands</t>
  </si>
  <si>
    <t>Switzerland</t>
  </si>
  <si>
    <t>Australia</t>
  </si>
  <si>
    <t>Germany</t>
  </si>
  <si>
    <t>Saudi Arabia</t>
  </si>
  <si>
    <t>UK</t>
  </si>
  <si>
    <t>Japan</t>
  </si>
  <si>
    <t>Norway</t>
  </si>
  <si>
    <t>Brazil</t>
  </si>
  <si>
    <t>Mexico</t>
  </si>
  <si>
    <t>Egypt</t>
  </si>
  <si>
    <t>South Korea</t>
  </si>
  <si>
    <t>USA</t>
  </si>
  <si>
    <t>China</t>
  </si>
  <si>
    <t>Spain</t>
  </si>
  <si>
    <t>Sweden</t>
  </si>
  <si>
    <t>France</t>
  </si>
  <si>
    <t>Turkey</t>
  </si>
  <si>
    <t>Sri Lanka</t>
  </si>
  <si>
    <t>Unknown</t>
  </si>
  <si>
    <t>Dolphin</t>
  </si>
  <si>
    <t>Whale</t>
  </si>
  <si>
    <t>Revenue_Month</t>
  </si>
  <si>
    <t>Device</t>
  </si>
  <si>
    <t>Total_Players</t>
  </si>
  <si>
    <t>Avg_Revenue_Per_Transaction</t>
  </si>
  <si>
    <t>Android</t>
  </si>
  <si>
    <t>iOS</t>
  </si>
  <si>
    <t>Action RPG</t>
  </si>
  <si>
    <t>Card</t>
  </si>
  <si>
    <t>Casual</t>
  </si>
  <si>
    <t>Puzzle</t>
  </si>
  <si>
    <t>Racing</t>
  </si>
  <si>
    <t>Sandbox</t>
  </si>
  <si>
    <t>Sports</t>
  </si>
  <si>
    <t>Row Labels</t>
  </si>
  <si>
    <t>Grand Total</t>
  </si>
  <si>
    <t>Column Labels</t>
  </si>
  <si>
    <t>Sum of Total_Revenue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</si>
</sst>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[Dashboard_Game_Analytics.xlsx]Data!PivotTable1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Country Segment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Data!$B$1:$B$2</c:f>
              <c:strCache>
                <c:ptCount val="1"/>
                <c:pt idx="0">
                  <c:v>Dolphin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Data!$A$3:$A$13</c:f>
              <c:strCache>
                <c:ptCount val="10"/>
                <c:pt idx="0">
                  <c:v>India</c:v>
                </c:pt>
                <c:pt idx="1">
                  <c:v>Afghanistan</c:v>
                </c:pt>
                <c:pt idx="2">
                  <c:v>Canada</c:v>
                </c:pt>
                <c:pt idx="3">
                  <c:v>South Korea</c:v>
                </c:pt>
                <c:pt idx="4">
                  <c:v>Bangladesh</c:v>
                </c:pt>
                <c:pt idx="5">
                  <c:v>Italy</c:v>
                </c:pt>
                <c:pt idx="6">
                  <c:v>Germany</c:v>
                </c:pt>
                <c:pt idx="7">
                  <c:v>Russia</c:v>
                </c:pt>
                <c:pt idx="8">
                  <c:v>Japan</c:v>
                </c:pt>
                <c:pt idx="9">
                  <c:v>Iran</c:v>
                </c:pt>
              </c:strCache>
            </c:strRef>
          </c:cat>
          <c:val>
            <c:numRef>
              <c:f>Data!$B$3:$B$13</c:f>
              <c:numCache>
                <c:formatCode>General</c:formatCode>
                <c:ptCount val="10"/>
                <c:pt idx="0">
                  <c:v>795176</c:v>
                </c:pt>
                <c:pt idx="1">
                  <c:v>532649</c:v>
                </c:pt>
                <c:pt idx="2">
                  <c:v>234179</c:v>
                </c:pt>
                <c:pt idx="3">
                  <c:v>198714</c:v>
                </c:pt>
                <c:pt idx="4">
                  <c:v>429054</c:v>
                </c:pt>
                <c:pt idx="5">
                  <c:v>225268</c:v>
                </c:pt>
                <c:pt idx="6">
                  <c:v>275898</c:v>
                </c:pt>
                <c:pt idx="7">
                  <c:v>261666</c:v>
                </c:pt>
                <c:pt idx="8">
                  <c:v>414075</c:v>
                </c:pt>
                <c:pt idx="9">
                  <c:v>245641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3-45C3-9E3C-36BED2C7FDA3}"/>
            </c:ext>
          </c:extLst>
        </c:ser>
        <c:ser>
          <c:idx val="1"/>
          <c:order val="1"/>
          <c:tx>
            <c:strRef>
              <c:f>Data!$C$1:$C$2</c:f>
              <c:strCache>
                <c:ptCount val="1"/>
                <c:pt idx="0">
                  <c:v>Minnow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Data!$A$3:$A$13</c:f>
              <c:strCache>
                <c:ptCount val="10"/>
                <c:pt idx="0">
                  <c:v>India</c:v>
                </c:pt>
                <c:pt idx="1">
                  <c:v>Afghanistan</c:v>
                </c:pt>
                <c:pt idx="2">
                  <c:v>Canada</c:v>
                </c:pt>
                <c:pt idx="3">
                  <c:v>South Korea</c:v>
                </c:pt>
                <c:pt idx="4">
                  <c:v>Bangladesh</c:v>
                </c:pt>
                <c:pt idx="5">
                  <c:v>Italy</c:v>
                </c:pt>
                <c:pt idx="6">
                  <c:v>Germany</c:v>
                </c:pt>
                <c:pt idx="7">
                  <c:v>Russia</c:v>
                </c:pt>
                <c:pt idx="8">
                  <c:v>Japan</c:v>
                </c:pt>
                <c:pt idx="9">
                  <c:v>Iran</c:v>
                </c:pt>
              </c:strCache>
            </c:strRef>
          </c:cat>
          <c:val>
            <c:numRef>
              <c:f>Data!$C$3:$C$13</c:f>
              <c:numCache>
                <c:formatCode>General</c:formatCode>
                <c:ptCount val="10"/>
                <c:pt idx="0">
                  <c:v>180276</c:v>
                </c:pt>
                <c:pt idx="1">
                  <c:v>56823</c:v>
                </c:pt>
                <c:pt idx="2">
                  <c:v>78793</c:v>
                </c:pt>
                <c:pt idx="3">
                  <c:v>69429</c:v>
                </c:pt>
                <c:pt idx="4">
                  <c:v>72624</c:v>
                </c:pt>
                <c:pt idx="5">
                  <c:v>86396</c:v>
                </c:pt>
                <c:pt idx="6">
                  <c:v>76597</c:v>
                </c:pt>
                <c:pt idx="7">
                  <c:v>63309</c:v>
                </c:pt>
                <c:pt idx="8">
                  <c:v>71427</c:v>
                </c:pt>
                <c:pt idx="9">
                  <c:v>78652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3-45C3-9E3C-36BED2C7FDA3}"/>
            </c:ext>
          </c:extLst>
        </c:ser>
        <c:ser>
          <c:idx val="2"/>
          <c:order val="2"/>
          <c:tx>
            <c:strRef>
              <c:f>Data!$D$1:$D$2</c:f>
              <c:strCache>
                <c:ptCount val="1"/>
                <c:pt idx="0">
                  <c:v>Whale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Data!$A$3:$A$13</c:f>
              <c:strCache>
                <c:ptCount val="10"/>
                <c:pt idx="0">
                  <c:v>India</c:v>
                </c:pt>
                <c:pt idx="1">
                  <c:v>Afghanistan</c:v>
                </c:pt>
                <c:pt idx="2">
                  <c:v>Canada</c:v>
                </c:pt>
                <c:pt idx="3">
                  <c:v>South Korea</c:v>
                </c:pt>
                <c:pt idx="4">
                  <c:v>Bangladesh</c:v>
                </c:pt>
                <c:pt idx="5">
                  <c:v>Italy</c:v>
                </c:pt>
                <c:pt idx="6">
                  <c:v>Germany</c:v>
                </c:pt>
                <c:pt idx="7">
                  <c:v>Russia</c:v>
                </c:pt>
                <c:pt idx="8">
                  <c:v>Japan</c:v>
                </c:pt>
                <c:pt idx="9">
                  <c:v>Iran</c:v>
                </c:pt>
              </c:strCache>
            </c:strRef>
          </c:cat>
          <c:val>
            <c:numRef>
              <c:f>Data!$D$3:$D$13</c:f>
              <c:numCache>
                <c:formatCode>General</c:formatCode>
                <c:ptCount val="10"/>
                <c:pt idx="0">
                  <c:v>1624493</c:v>
                </c:pt>
                <c:pt idx="1">
                  <c:v>1019857</c:v>
                </c:pt>
                <c:pt idx="2">
                  <c:v>1111829</c:v>
                </c:pt>
                <c:pt idx="3">
                  <c:v>1128726</c:v>
                </c:pt>
                <c:pt idx="4">
                  <c:v>868896</c:v>
                </c:pt>
                <c:pt idx="5">
                  <c:v>1033635</c:v>
                </c:pt>
                <c:pt idx="6">
                  <c:v>934421</c:v>
                </c:pt>
                <c:pt idx="7">
                  <c:v>899578</c:v>
                </c:pt>
                <c:pt idx="8">
                  <c:v>736748</c:v>
                </c:pt>
                <c:pt idx="9">
                  <c:v>805037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03-45C3-9E3C-36BED2C7F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8567648"/>
        <c:axId val="1519239312"/>
      </c:barChart>
      <c:catAx>
        <c:axId val="1488567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239312"/>
        <c:crosses val="autoZero"/>
        <c:auto val="1"/>
        <c:lblAlgn val="ctr"/>
        <c:lblOffset val="100"/>
        <c:noMultiLvlLbl val="0"/>
      </c:catAx>
      <c:valAx>
        <c:axId val="15192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56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[Dashboard_Game_Analytics.xlsx]Data!PivotTable3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Genre Segment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Data!$H$1:$H$2</c:f>
              <c:strCache>
                <c:ptCount val="1"/>
                <c:pt idx="0">
                  <c:v>Dolphin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Data!$G$3:$G$13</c:f>
              <c:strCache>
                <c:ptCount val="10"/>
                <c:pt idx="0">
                  <c:v>Battle Royale</c:v>
                </c:pt>
                <c:pt idx="1">
                  <c:v>Racing</c:v>
                </c:pt>
                <c:pt idx="2">
                  <c:v>Strategy</c:v>
                </c:pt>
                <c:pt idx="3">
                  <c:v>Fighting</c:v>
                </c:pt>
                <c:pt idx="4">
                  <c:v>MOBA</c:v>
                </c:pt>
                <c:pt idx="5">
                  <c:v>MMORPG</c:v>
                </c:pt>
                <c:pt idx="6">
                  <c:v>Sports</c:v>
                </c:pt>
                <c:pt idx="7">
                  <c:v>Simulation</c:v>
                </c:pt>
                <c:pt idx="8">
                  <c:v>Adventure</c:v>
                </c:pt>
                <c:pt idx="9">
                  <c:v>Role Playing</c:v>
                </c:pt>
              </c:strCache>
            </c:strRef>
          </c:cat>
          <c:val>
            <c:numRef>
              <c:f>Data!$H$3:$H$13</c:f>
              <c:numCache>
                <c:formatCode>General</c:formatCode>
                <c:ptCount val="10"/>
                <c:pt idx="0">
                  <c:v>552832</c:v>
                </c:pt>
                <c:pt idx="1">
                  <c:v>678200</c:v>
                </c:pt>
                <c:pt idx="2">
                  <c:v>402139</c:v>
                </c:pt>
                <c:pt idx="3">
                  <c:v>755402</c:v>
                </c:pt>
                <c:pt idx="4">
                  <c:v>422592</c:v>
                </c:pt>
                <c:pt idx="5">
                  <c:v>649532</c:v>
                </c:pt>
                <c:pt idx="6">
                  <c:v>686348</c:v>
                </c:pt>
                <c:pt idx="7">
                  <c:v>631454</c:v>
                </c:pt>
                <c:pt idx="8">
                  <c:v>788235</c:v>
                </c:pt>
                <c:pt idx="9">
                  <c:v>481348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82-4394-8593-00D55D0E4199}"/>
            </c:ext>
          </c:extLst>
        </c:ser>
        <c:ser>
          <c:idx val="1"/>
          <c:order val="1"/>
          <c:tx>
            <c:strRef>
              <c:f>Data!$I$1:$I$2</c:f>
              <c:strCache>
                <c:ptCount val="1"/>
                <c:pt idx="0">
                  <c:v>Minnow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Data!$G$3:$G$13</c:f>
              <c:strCache>
                <c:ptCount val="10"/>
                <c:pt idx="0">
                  <c:v>Battle Royale</c:v>
                </c:pt>
                <c:pt idx="1">
                  <c:v>Racing</c:v>
                </c:pt>
                <c:pt idx="2">
                  <c:v>Strategy</c:v>
                </c:pt>
                <c:pt idx="3">
                  <c:v>Fighting</c:v>
                </c:pt>
                <c:pt idx="4">
                  <c:v>MOBA</c:v>
                </c:pt>
                <c:pt idx="5">
                  <c:v>MMORPG</c:v>
                </c:pt>
                <c:pt idx="6">
                  <c:v>Sports</c:v>
                </c:pt>
                <c:pt idx="7">
                  <c:v>Simulation</c:v>
                </c:pt>
                <c:pt idx="8">
                  <c:v>Adventure</c:v>
                </c:pt>
                <c:pt idx="9">
                  <c:v>Role Playing</c:v>
                </c:pt>
              </c:strCache>
            </c:strRef>
          </c:cat>
          <c:val>
            <c:numRef>
              <c:f>Data!$I$3:$I$13</c:f>
              <c:numCache>
                <c:formatCode>General</c:formatCode>
                <c:ptCount val="10"/>
                <c:pt idx="0">
                  <c:v>125849</c:v>
                </c:pt>
                <c:pt idx="1">
                  <c:v>142172</c:v>
                </c:pt>
                <c:pt idx="2">
                  <c:v>144702</c:v>
                </c:pt>
                <c:pt idx="3">
                  <c:v>124454</c:v>
                </c:pt>
                <c:pt idx="4">
                  <c:v>134601</c:v>
                </c:pt>
                <c:pt idx="5">
                  <c:v>136163</c:v>
                </c:pt>
                <c:pt idx="6">
                  <c:v>154045</c:v>
                </c:pt>
                <c:pt idx="7">
                  <c:v>165567</c:v>
                </c:pt>
                <c:pt idx="8">
                  <c:v>99836</c:v>
                </c:pt>
                <c:pt idx="9">
                  <c:v>127967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82-4394-8593-00D55D0E4199}"/>
            </c:ext>
          </c:extLst>
        </c:ser>
        <c:ser>
          <c:idx val="2"/>
          <c:order val="2"/>
          <c:tx>
            <c:strRef>
              <c:f>Data!$J$1:$J$2</c:f>
              <c:strCache>
                <c:ptCount val="1"/>
                <c:pt idx="0">
                  <c:v>Whale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Data!$G$3:$G$13</c:f>
              <c:strCache>
                <c:ptCount val="10"/>
                <c:pt idx="0">
                  <c:v>Battle Royale</c:v>
                </c:pt>
                <c:pt idx="1">
                  <c:v>Racing</c:v>
                </c:pt>
                <c:pt idx="2">
                  <c:v>Strategy</c:v>
                </c:pt>
                <c:pt idx="3">
                  <c:v>Fighting</c:v>
                </c:pt>
                <c:pt idx="4">
                  <c:v>MOBA</c:v>
                </c:pt>
                <c:pt idx="5">
                  <c:v>MMORPG</c:v>
                </c:pt>
                <c:pt idx="6">
                  <c:v>Sports</c:v>
                </c:pt>
                <c:pt idx="7">
                  <c:v>Simulation</c:v>
                </c:pt>
                <c:pt idx="8">
                  <c:v>Adventure</c:v>
                </c:pt>
                <c:pt idx="9">
                  <c:v>Role Playing</c:v>
                </c:pt>
              </c:strCache>
            </c:strRef>
          </c:cat>
          <c:val>
            <c:numRef>
              <c:f>Data!$J$3:$J$13</c:f>
              <c:numCache>
                <c:formatCode>General</c:formatCode>
                <c:ptCount val="10"/>
                <c:pt idx="0">
                  <c:v>1917777</c:v>
                </c:pt>
                <c:pt idx="1">
                  <c:v>1736544</c:v>
                </c:pt>
                <c:pt idx="2">
                  <c:v>1713033</c:v>
                </c:pt>
                <c:pt idx="3">
                  <c:v>1257931</c:v>
                </c:pt>
                <c:pt idx="4">
                  <c:v>1415355</c:v>
                </c:pt>
                <c:pt idx="5">
                  <c:v>1012316</c:v>
                </c:pt>
                <c:pt idx="6">
                  <c:v>730984</c:v>
                </c:pt>
                <c:pt idx="7">
                  <c:v>668094</c:v>
                </c:pt>
                <c:pt idx="8">
                  <c:v>493028</c:v>
                </c:pt>
                <c:pt idx="9">
                  <c:v>758178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82-4394-8593-00D55D0E4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8527280"/>
        <c:axId val="1519268112"/>
      </c:barChart>
      <c:catAx>
        <c:axId val="148852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268112"/>
        <c:crosses val="autoZero"/>
        <c:auto val="1"/>
        <c:lblAlgn val="ctr"/>
        <c:lblOffset val="100"/>
        <c:noMultiLvlLbl val="0"/>
      </c:catAx>
      <c:valAx>
        <c:axId val="151926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52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</a:t>
            </a:r>
            <a:r>
              <a:rPr lang="en-US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DevicePerformance!$C$1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DevicePerformance!$A$2:$A$4</c:f>
              <c:strCache>
                <c:ptCount val="3"/>
                <c:pt idx="0">
                  <c:v>Android</c:v>
                </c:pt>
                <c:pt idx="1">
                  <c:v>iOS</c:v>
                </c:pt>
                <c:pt idx="2">
                  <c:v>Unknown</c:v>
                </c:pt>
              </c:strCache>
            </c:strRef>
          </c:cat>
          <c:val>
            <c:numRef>
              <c:f>DevicePerformance!$C$2:$C$4</c:f>
              <c:numCache>
                <c:formatCode>General</c:formatCode>
                <c:ptCount val="3"/>
                <c:pt idx="0">
                  <c:v>13099443</c:v>
                </c:pt>
                <c:pt idx="1">
                  <c:v>11720280</c:v>
                </c:pt>
                <c:pt idx="2">
                  <c:v>902112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A-4B1E-8D22-3AD541243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86274448"/>
        <c:axId val="1519275792"/>
      </c:barChart>
      <c:catAx>
        <c:axId val="1486274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275792"/>
        <c:crosses val="autoZero"/>
        <c:auto val="1"/>
        <c:lblAlgn val="ctr"/>
        <c:lblOffset val="100"/>
        <c:noMultiLvlLbl val="0"/>
      </c:catAx>
      <c:valAx>
        <c:axId val="15192757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86274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</a:t>
            </a:r>
            <a:r>
              <a:rPr lang="en-US"/>
              <a:t>Players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DevicePerformance!$B$1</c:f>
              <c:strCache>
                <c:ptCount val="1"/>
                <c:pt idx="0">
                  <c:v>Total_Players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DevicePerformance!$A$2:$A$4</c:f>
              <c:strCache>
                <c:ptCount val="3"/>
                <c:pt idx="0">
                  <c:v>Android</c:v>
                </c:pt>
                <c:pt idx="1">
                  <c:v>iOS</c:v>
                </c:pt>
                <c:pt idx="2">
                  <c:v>Unknown</c:v>
                </c:pt>
              </c:strCache>
            </c:strRef>
          </c:cat>
          <c:val>
            <c:numRef>
              <c:f>DevicePerformance!$B$2:$B$4</c:f>
              <c:numCache>
                <c:formatCode>General</c:formatCode>
                <c:ptCount val="3"/>
                <c:pt idx="0">
                  <c:v>1702</c:v>
                </c:pt>
                <c:pt idx="1">
                  <c:v>1203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3-4BED-9FA4-3470D0CA2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2769824"/>
        <c:axId val="1519240272"/>
      </c:barChart>
      <c:catAx>
        <c:axId val="362769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240272"/>
        <c:crosses val="autoZero"/>
        <c:auto val="1"/>
        <c:lblAlgn val="ctr"/>
        <c:lblOffset val="100"/>
        <c:noMultiLvlLbl val="0"/>
      </c:catAx>
      <c:valAx>
        <c:axId val="1519240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62769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Per</a:t>
            </a:r>
            <a:r>
              <a:rPr lang="en-US" baseline="0"/>
              <a:t> Transaction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DevicePerformance!$D$1</c:f>
              <c:strCache>
                <c:ptCount val="1"/>
                <c:pt idx="0">
                  <c:v>Avg_Revenue_Per_Transaction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DevicePerformance!$A$2:$A$4</c:f>
              <c:strCache>
                <c:ptCount val="3"/>
                <c:pt idx="0">
                  <c:v>Android</c:v>
                </c:pt>
                <c:pt idx="1">
                  <c:v>iOS</c:v>
                </c:pt>
                <c:pt idx="2">
                  <c:v>Unknown</c:v>
                </c:pt>
              </c:strCache>
            </c:strRef>
          </c:cat>
          <c:val>
            <c:numRef>
              <c:f>DevicePerformance!$D$2:$D$4</c:f>
              <c:numCache>
                <c:formatCode>General</c:formatCode>
                <c:ptCount val="3"/>
                <c:pt idx="0">
                  <c:v>76965</c:v>
                </c:pt>
                <c:pt idx="1">
                  <c:v>974254</c:v>
                </c:pt>
                <c:pt idx="2">
                  <c:v>1529003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AB-4E1A-A511-E2F52D6A8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0058704"/>
        <c:axId val="1519230672"/>
      </c:barChart>
      <c:catAx>
        <c:axId val="360058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230672"/>
        <c:crosses val="autoZero"/>
        <c:auto val="1"/>
        <c:lblAlgn val="ctr"/>
        <c:lblOffset val="100"/>
        <c:noMultiLvlLbl val="0"/>
      </c:catAx>
      <c:valAx>
        <c:axId val="15192306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60058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Monthly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MonthlyTrend!$B$1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MonthlyTrend!$A$2:$A$9</c:f>
              <c:numCache>
                <c:formatCode>m/d/yyyy</c:formatCode>
                <c:ptCount val="8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</c:numCache>
            </c:numRef>
          </c:cat>
          <c:val>
            <c:numRef>
              <c:f>MonthlyTrend!$B$2:$B$9</c:f>
              <c:numCache>
                <c:formatCode>General</c:formatCode>
                <c:ptCount val="8"/>
                <c:pt idx="0">
                  <c:v>3226922</c:v>
                </c:pt>
                <c:pt idx="1">
                  <c:v>2746894</c:v>
                </c:pt>
                <c:pt idx="2">
                  <c:v>3334975</c:v>
                </c:pt>
                <c:pt idx="3">
                  <c:v>4702842</c:v>
                </c:pt>
                <c:pt idx="4">
                  <c:v>2306129</c:v>
                </c:pt>
                <c:pt idx="5">
                  <c:v>3585927</c:v>
                </c:pt>
                <c:pt idx="6">
                  <c:v>4382434</c:v>
                </c:pt>
                <c:pt idx="7">
                  <c:v>1435712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F5-4AD7-BADB-5D4AE767B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8568576"/>
        <c:axId val="1519252752"/>
      </c:lineChart>
      <c:lineChart>
        <c:grouping val="standard"/>
        <c:varyColors val="0"/>
        <c:ser>
          <c:idx val="1"/>
          <c:order val="1"/>
          <c:tx>
            <c:strRef>
              <c:f>MonthlyTrend!$C$1</c:f>
              <c:strCache>
                <c:ptCount val="1"/>
                <c:pt idx="0">
                  <c:v>Total_Users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MonthlyTrend!$A$2:$A$9</c:f>
              <c:numCache>
                <c:formatCode>m/d/yyyy</c:formatCode>
                <c:ptCount val="8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</c:numCache>
            </c:numRef>
          </c:cat>
          <c:val>
            <c:numRef>
              <c:f>MonthlyTrend!$C$2:$C$9</c:f>
              <c:numCache>
                <c:formatCode>General</c:formatCode>
                <c:ptCount val="8"/>
                <c:pt idx="0">
                  <c:v>370</c:v>
                </c:pt>
                <c:pt idx="1">
                  <c:v>337</c:v>
                </c:pt>
                <c:pt idx="2">
                  <c:v>392</c:v>
                </c:pt>
                <c:pt idx="3">
                  <c:v>373</c:v>
                </c:pt>
                <c:pt idx="4">
                  <c:v>411</c:v>
                </c:pt>
                <c:pt idx="5">
                  <c:v>368</c:v>
                </c:pt>
                <c:pt idx="6">
                  <c:v>411</c:v>
                </c:pt>
                <c:pt idx="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F5-4AD7-BADB-5D4AE767B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8541664"/>
        <c:axId val="1519255152"/>
      </c:lineChart>
      <c:dateAx>
        <c:axId val="148856857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252752"/>
        <c:crosses val="autoZero"/>
        <c:auto val="1"/>
        <c:lblOffset val="100"/>
        <c:baseTimeUnit val="months"/>
      </c:dateAx>
      <c:valAx>
        <c:axId val="1519252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568576"/>
        <c:crosses val="autoZero"/>
        <c:crossBetween val="between"/>
      </c:valAx>
      <c:valAx>
        <c:axId val="151925515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541664"/>
        <c:crosses val="max"/>
        <c:crossBetween val="between"/>
      </c:valAx>
      <c:dateAx>
        <c:axId val="1488541664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51925515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412750</xdr:colOff>
      <xdr:row>20</xdr:row>
      <xdr:rowOff>6350</xdr:rowOff>
    </xdr:from>
    <xdr:to>
      <xdr:col>10</xdr:col>
      <xdr:colOff>622300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28C9CE-64E8-8BF4-0C6B-B8A6F59BA4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171450</xdr:colOff>
      <xdr:row>20</xdr:row>
      <xdr:rowOff>12700</xdr:rowOff>
    </xdr:from>
    <xdr:to>
      <xdr:col>18</xdr:col>
      <xdr:colOff>165100</xdr:colOff>
      <xdr:row>44</xdr:row>
      <xdr:rowOff>85706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95F163-1AEF-2986-5F92-AAA95CE9D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482600</xdr:colOff>
      <xdr:row>6</xdr:row>
      <xdr:rowOff>31750</xdr:rowOff>
    </xdr:from>
    <xdr:to>
      <xdr:col>5</xdr:col>
      <xdr:colOff>438150</xdr:colOff>
      <xdr:row>18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08A3FD-6971-A790-EA48-D79B11B65C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558800</xdr:colOff>
      <xdr:row>18</xdr:row>
      <xdr:rowOff>25400</xdr:rowOff>
    </xdr:from>
    <xdr:to>
      <xdr:col>13</xdr:col>
      <xdr:colOff>254000</xdr:colOff>
      <xdr:row>29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5D8F02-F18E-3636-2212-9F3C6DB82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127000</xdr:rowOff>
    </xdr:from>
    <xdr:to>
      <xdr:col>3</xdr:col>
      <xdr:colOff>1860550</xdr:colOff>
      <xdr:row>36</xdr:row>
      <xdr:rowOff>107950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E1D683-7635-F110-6DFE-81ADBA385A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196850</xdr:colOff>
      <xdr:row>2</xdr:row>
      <xdr:rowOff>82550</xdr:rowOff>
    </xdr:from>
    <xdr:to>
      <xdr:col>10</xdr:col>
      <xdr:colOff>501650</xdr:colOff>
      <xdr:row>17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A2D0FF-F499-925A-FAF6-9C820FBB5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63.946335995373" backgroundQuery="1" createdVersion="8" refreshedVersion="8" minRefreshableVersion="3" recordCount="80" xr:uid="{AC61DD6A-3322-43FA-99D4-4598F84A3A21}">
  <cacheSource type="external" connectionId="4"/>
  <cacheFields count="5">
    <cacheField name="Country" numFmtId="0">
      <sharedItems count="28">
        <s v="India"/>
        <s v="Netherlands"/>
        <s v="Switzerland"/>
        <s v="Australia"/>
        <s v="Germany"/>
        <s v="Saudi Arabia"/>
        <s v="UK"/>
        <s v="Italy"/>
        <s v="Japan"/>
        <s v="Denmark"/>
        <s v="Iran"/>
        <s v="Norway"/>
        <s v="Brazil"/>
        <s v="Mexico"/>
        <s v="Egypt"/>
        <s v="South Korea"/>
        <s v="USA"/>
        <s v="Canada"/>
        <s v="China"/>
        <s v="Spain"/>
        <s v="Sweden"/>
        <s v="France"/>
        <s v="Bangladesh"/>
        <s v="Russia"/>
        <s v="Turkey"/>
        <s v="Afghanistan"/>
        <s v="Sri Lanka"/>
        <s v="Unknown"/>
      </sharedItems>
    </cacheField>
    <cacheField name="SpendingSegment" numFmtId="0">
      <sharedItems count="3">
        <s v="Minnow"/>
        <s v="Dolphin"/>
        <s v="Whale"/>
      </sharedItems>
    </cacheField>
    <cacheField name="Total_Users" numFmtId="0">
      <sharedItems containsSemiMixedTypes="0" containsString="0" containsNumber="1" containsInteger="1" minValue="1" maxValue="189"/>
    </cacheField>
    <cacheField name="Total_Revenue" numFmtId="0">
      <sharedItems containsSemiMixedTypes="0" containsString="0" containsNumber="1" containsInteger="1" minValue="20040" maxValue="1624493"/>
    </cacheField>
    <cacheField name="ARPU" numFmtId="0">
      <sharedItems containsSemiMixedTypes="0" containsString="0" containsNumber="1" containsInteger="1" minValue="8052" maxValue="370609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63.951069328701" backgroundQuery="1" createdVersion="8" refreshedVersion="8" minRefreshableVersion="3" recordCount="48" xr:uid="{60C76ED5-9E1A-45B3-9756-EDD5D4BD4990}">
  <cacheSource type="external" connectionId="7"/>
  <cacheFields count="5">
    <cacheField name="GameGenre" numFmtId="0">
      <sharedItems count="16">
        <s v="Action RPG"/>
        <s v="Adventure"/>
        <s v="Battle Royale"/>
        <s v="Card"/>
        <s v="Casual"/>
        <s v="Fighting"/>
        <s v="MMORPG"/>
        <s v="MOBA"/>
        <s v="Puzzle"/>
        <s v="Racing"/>
        <s v="Role Playing"/>
        <s v="Sandbox"/>
        <s v="Simulation"/>
        <s v="Sports"/>
        <s v="Strategy"/>
        <s v="Unknown"/>
      </sharedItems>
    </cacheField>
    <cacheField name="SpendingSegment" numFmtId="0">
      <sharedItems count="3">
        <s v="Dolphin"/>
        <s v="Whale"/>
        <s v="Minnow"/>
      </sharedItems>
    </cacheField>
    <cacheField name="Total_Players" numFmtId="0">
      <sharedItems containsSemiMixedTypes="0" containsString="0" containsNumber="1" containsInteger="1" minValue="1" maxValue="176" count="30">
        <n v="23"/>
        <n v="3"/>
        <n v="153"/>
        <n v="35"/>
        <n v="1"/>
        <n v="123"/>
        <n v="7"/>
        <n v="24"/>
        <n v="144"/>
        <n v="20"/>
        <n v="166"/>
        <n v="4"/>
        <n v="21"/>
        <n v="174"/>
        <n v="32"/>
        <n v="134"/>
        <n v="28"/>
        <n v="152"/>
        <n v="5"/>
        <n v="29"/>
        <n v="145"/>
        <n v="22"/>
        <n v="156"/>
        <n v="173"/>
        <n v="27"/>
        <n v="175"/>
        <n v="176"/>
        <n v="8"/>
        <n v="9"/>
        <n v="46"/>
      </sharedItems>
    </cacheField>
    <cacheField name="Total_Revenue" numFmtId="0">
      <sharedItems containsSemiMixedTypes="0" containsString="0" containsNumber="1" containsInteger="1" minValue="40923" maxValue="1917777"/>
    </cacheField>
    <cacheField name="ARPU_Per_Genre" numFmtId="0">
      <sharedItems containsSemiMixedTypes="0" containsString="0" containsNumber="1" containsInteger="1" minValue="8203" maxValue="33743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x v="0"/>
    <x v="0"/>
    <n v="189"/>
    <n v="180276"/>
    <n v="95384"/>
  </r>
  <r>
    <x v="1"/>
    <x v="0"/>
    <n v="98"/>
    <n v="96568"/>
    <n v="98539"/>
  </r>
  <r>
    <x v="2"/>
    <x v="0"/>
    <n v="98"/>
    <n v="78910"/>
    <n v="8052"/>
  </r>
  <r>
    <x v="3"/>
    <x v="0"/>
    <n v="95"/>
    <n v="77710"/>
    <n v="8180"/>
  </r>
  <r>
    <x v="4"/>
    <x v="0"/>
    <n v="90"/>
    <n v="76597"/>
    <n v="85108"/>
  </r>
  <r>
    <x v="5"/>
    <x v="0"/>
    <n v="90"/>
    <n v="88890"/>
    <n v="98767"/>
  </r>
  <r>
    <x v="6"/>
    <x v="0"/>
    <n v="90"/>
    <n v="86797"/>
    <n v="96441"/>
  </r>
  <r>
    <x v="7"/>
    <x v="0"/>
    <n v="88"/>
    <n v="86396"/>
    <n v="98177"/>
  </r>
  <r>
    <x v="8"/>
    <x v="0"/>
    <n v="87"/>
    <n v="71427"/>
    <n v="8210"/>
  </r>
  <r>
    <x v="9"/>
    <x v="0"/>
    <n v="85"/>
    <n v="85929"/>
    <n v="101093"/>
  </r>
  <r>
    <x v="10"/>
    <x v="0"/>
    <n v="84"/>
    <n v="78652"/>
    <n v="93633"/>
  </r>
  <r>
    <x v="11"/>
    <x v="0"/>
    <n v="84"/>
    <n v="78158"/>
    <n v="93045"/>
  </r>
  <r>
    <x v="12"/>
    <x v="0"/>
    <n v="83"/>
    <n v="70183"/>
    <n v="84558"/>
  </r>
  <r>
    <x v="13"/>
    <x v="0"/>
    <n v="83"/>
    <n v="76211"/>
    <n v="9182"/>
  </r>
  <r>
    <x v="14"/>
    <x v="0"/>
    <n v="82"/>
    <n v="73256"/>
    <n v="89337"/>
  </r>
  <r>
    <x v="15"/>
    <x v="0"/>
    <n v="81"/>
    <n v="69429"/>
    <n v="85715"/>
  </r>
  <r>
    <x v="16"/>
    <x v="0"/>
    <n v="81"/>
    <n v="79432"/>
    <n v="98064"/>
  </r>
  <r>
    <x v="17"/>
    <x v="0"/>
    <n v="79"/>
    <n v="78793"/>
    <n v="99738"/>
  </r>
  <r>
    <x v="18"/>
    <x v="0"/>
    <n v="79"/>
    <n v="57613"/>
    <n v="72928"/>
  </r>
  <r>
    <x v="19"/>
    <x v="0"/>
    <n v="79"/>
    <n v="71675"/>
    <n v="90728"/>
  </r>
  <r>
    <x v="20"/>
    <x v="0"/>
    <n v="78"/>
    <n v="72373"/>
    <n v="92786"/>
  </r>
  <r>
    <x v="21"/>
    <x v="0"/>
    <n v="75"/>
    <n v="65668"/>
    <n v="87557"/>
  </r>
  <r>
    <x v="22"/>
    <x v="0"/>
    <n v="73"/>
    <n v="72624"/>
    <n v="99485"/>
  </r>
  <r>
    <x v="23"/>
    <x v="0"/>
    <n v="70"/>
    <n v="63309"/>
    <n v="90441"/>
  </r>
  <r>
    <x v="24"/>
    <x v="0"/>
    <n v="70"/>
    <n v="61867"/>
    <n v="88381"/>
  </r>
  <r>
    <x v="25"/>
    <x v="0"/>
    <n v="69"/>
    <n v="56823"/>
    <n v="82352"/>
  </r>
  <r>
    <x v="26"/>
    <x v="0"/>
    <n v="69"/>
    <n v="64283"/>
    <n v="93164"/>
  </r>
  <r>
    <x v="27"/>
    <x v="0"/>
    <n v="54"/>
    <n v="54599"/>
    <n v="101109"/>
  </r>
  <r>
    <x v="0"/>
    <x v="1"/>
    <n v="34"/>
    <n v="795176"/>
    <n v="2338753"/>
  </r>
  <r>
    <x v="22"/>
    <x v="1"/>
    <n v="21"/>
    <n v="429054"/>
    <n v="2043114"/>
  </r>
  <r>
    <x v="5"/>
    <x v="1"/>
    <n v="20"/>
    <n v="489792"/>
    <n v="244896"/>
  </r>
  <r>
    <x v="20"/>
    <x v="1"/>
    <n v="18"/>
    <n v="398336"/>
    <n v="2212978"/>
  </r>
  <r>
    <x v="25"/>
    <x v="1"/>
    <n v="17"/>
    <n v="532649"/>
    <n v="3133229"/>
  </r>
  <r>
    <x v="11"/>
    <x v="1"/>
    <n v="17"/>
    <n v="278045"/>
    <n v="1635559"/>
  </r>
  <r>
    <x v="13"/>
    <x v="1"/>
    <n v="16"/>
    <n v="390640"/>
    <n v="244150"/>
  </r>
  <r>
    <x v="8"/>
    <x v="1"/>
    <n v="15"/>
    <n v="414075"/>
    <n v="276050"/>
  </r>
  <r>
    <x v="12"/>
    <x v="1"/>
    <n v="14"/>
    <n v="249272"/>
    <n v="1780514"/>
  </r>
  <r>
    <x v="23"/>
    <x v="1"/>
    <n v="14"/>
    <n v="261666"/>
    <n v="1869043"/>
  </r>
  <r>
    <x v="16"/>
    <x v="1"/>
    <n v="14"/>
    <n v="326433"/>
    <n v="2331664"/>
  </r>
  <r>
    <x v="26"/>
    <x v="1"/>
    <n v="13"/>
    <n v="237995"/>
    <n v="1830731"/>
  </r>
  <r>
    <x v="2"/>
    <x v="1"/>
    <n v="13"/>
    <n v="285296"/>
    <n v="2194585"/>
  </r>
  <r>
    <x v="3"/>
    <x v="1"/>
    <n v="12"/>
    <n v="290839"/>
    <n v="2423658"/>
  </r>
  <r>
    <x v="14"/>
    <x v="1"/>
    <n v="12"/>
    <n v="323279"/>
    <n v="2693992"/>
  </r>
  <r>
    <x v="4"/>
    <x v="1"/>
    <n v="12"/>
    <n v="275898"/>
    <n v="229915"/>
  </r>
  <r>
    <x v="10"/>
    <x v="1"/>
    <n v="12"/>
    <n v="245641"/>
    <n v="2047008"/>
  </r>
  <r>
    <x v="15"/>
    <x v="1"/>
    <n v="12"/>
    <n v="198714"/>
    <n v="165595"/>
  </r>
  <r>
    <x v="19"/>
    <x v="1"/>
    <n v="12"/>
    <n v="297986"/>
    <n v="2483217"/>
  </r>
  <r>
    <x v="24"/>
    <x v="1"/>
    <n v="12"/>
    <n v="194892"/>
    <n v="162410"/>
  </r>
  <r>
    <x v="6"/>
    <x v="1"/>
    <n v="12"/>
    <n v="208642"/>
    <n v="1738683"/>
  </r>
  <r>
    <x v="18"/>
    <x v="1"/>
    <n v="11"/>
    <n v="318812"/>
    <n v="2898291"/>
  </r>
  <r>
    <x v="9"/>
    <x v="1"/>
    <n v="11"/>
    <n v="250554"/>
    <n v="2277764"/>
  </r>
  <r>
    <x v="21"/>
    <x v="1"/>
    <n v="11"/>
    <n v="168590"/>
    <n v="1532636"/>
  </r>
  <r>
    <x v="7"/>
    <x v="1"/>
    <n v="11"/>
    <n v="225268"/>
    <n v="2047891"/>
  </r>
  <r>
    <x v="17"/>
    <x v="1"/>
    <n v="10"/>
    <n v="234179"/>
    <n v="234179"/>
  </r>
  <r>
    <x v="0"/>
    <x v="2"/>
    <n v="7"/>
    <n v="1624493"/>
    <n v="23207043"/>
  </r>
  <r>
    <x v="1"/>
    <x v="1"/>
    <n v="7"/>
    <n v="117909"/>
    <n v="1684414"/>
  </r>
  <r>
    <x v="4"/>
    <x v="2"/>
    <n v="5"/>
    <n v="934421"/>
    <n v="1868842"/>
  </r>
  <r>
    <x v="15"/>
    <x v="2"/>
    <n v="5"/>
    <n v="1128726"/>
    <n v="2257452"/>
  </r>
  <r>
    <x v="27"/>
    <x v="1"/>
    <n v="5"/>
    <n v="103623"/>
    <n v="207246"/>
  </r>
  <r>
    <x v="25"/>
    <x v="2"/>
    <n v="4"/>
    <n v="1019857"/>
    <n v="25496425"/>
  </r>
  <r>
    <x v="22"/>
    <x v="2"/>
    <n v="4"/>
    <n v="868896"/>
    <n v="2172240"/>
  </r>
  <r>
    <x v="10"/>
    <x v="2"/>
    <n v="4"/>
    <n v="805037"/>
    <n v="20125925"/>
  </r>
  <r>
    <x v="7"/>
    <x v="2"/>
    <n v="4"/>
    <n v="1033635"/>
    <n v="25840875"/>
  </r>
  <r>
    <x v="17"/>
    <x v="2"/>
    <n v="3"/>
    <n v="1111829"/>
    <n v="37060967"/>
  </r>
  <r>
    <x v="9"/>
    <x v="2"/>
    <n v="3"/>
    <n v="772600"/>
    <n v="25753333"/>
  </r>
  <r>
    <x v="26"/>
    <x v="2"/>
    <n v="3"/>
    <n v="793261"/>
    <n v="26442033"/>
  </r>
  <r>
    <x v="8"/>
    <x v="2"/>
    <n v="2"/>
    <n v="736748"/>
    <n v="3683740"/>
  </r>
  <r>
    <x v="13"/>
    <x v="2"/>
    <n v="2"/>
    <n v="303190"/>
    <n v="1515950"/>
  </r>
  <r>
    <x v="11"/>
    <x v="2"/>
    <n v="2"/>
    <n v="344364"/>
    <n v="1721820"/>
  </r>
  <r>
    <x v="23"/>
    <x v="2"/>
    <n v="2"/>
    <n v="899578"/>
    <n v="4497890"/>
  </r>
  <r>
    <x v="24"/>
    <x v="2"/>
    <n v="2"/>
    <n v="404975"/>
    <n v="2024875"/>
  </r>
  <r>
    <x v="6"/>
    <x v="2"/>
    <n v="2"/>
    <n v="509358"/>
    <n v="2546790"/>
  </r>
  <r>
    <x v="16"/>
    <x v="2"/>
    <n v="2"/>
    <n v="667968"/>
    <n v="3339840"/>
  </r>
  <r>
    <x v="12"/>
    <x v="2"/>
    <n v="1"/>
    <n v="20040"/>
    <n v="200400"/>
  </r>
  <r>
    <x v="18"/>
    <x v="2"/>
    <n v="1"/>
    <n v="262084"/>
    <n v="2620840"/>
  </r>
  <r>
    <x v="14"/>
    <x v="2"/>
    <n v="1"/>
    <n v="214059"/>
    <n v="2140590"/>
  </r>
  <r>
    <x v="21"/>
    <x v="2"/>
    <n v="1"/>
    <n v="100568"/>
    <n v="1005680"/>
  </r>
  <r>
    <x v="1"/>
    <x v="2"/>
    <n v="1"/>
    <n v="188039"/>
    <n v="1880390"/>
  </r>
  <r>
    <x v="19"/>
    <x v="2"/>
    <n v="1"/>
    <n v="44563"/>
    <n v="445630"/>
  </r>
  <r>
    <x v="2"/>
    <x v="2"/>
    <n v="1"/>
    <n v="215843"/>
    <n v="21584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x v="0"/>
    <n v="480891"/>
    <n v="209083"/>
  </r>
  <r>
    <x v="0"/>
    <x v="1"/>
    <x v="1"/>
    <n v="479282"/>
    <n v="15976067"/>
  </r>
  <r>
    <x v="0"/>
    <x v="2"/>
    <x v="2"/>
    <n v="137998"/>
    <n v="90195"/>
  </r>
  <r>
    <x v="1"/>
    <x v="0"/>
    <x v="3"/>
    <n v="788235"/>
    <n v="225210"/>
  </r>
  <r>
    <x v="1"/>
    <x v="1"/>
    <x v="4"/>
    <n v="493028"/>
    <n v="4930280"/>
  </r>
  <r>
    <x v="1"/>
    <x v="2"/>
    <x v="5"/>
    <n v="99836"/>
    <n v="81167"/>
  </r>
  <r>
    <x v="2"/>
    <x v="1"/>
    <x v="6"/>
    <n v="1917777"/>
    <n v="27396814"/>
  </r>
  <r>
    <x v="2"/>
    <x v="0"/>
    <x v="7"/>
    <n v="552832"/>
    <n v="2303467"/>
  </r>
  <r>
    <x v="2"/>
    <x v="2"/>
    <x v="8"/>
    <n v="125849"/>
    <n v="87395"/>
  </r>
  <r>
    <x v="3"/>
    <x v="1"/>
    <x v="1"/>
    <n v="670539"/>
    <n v="2235130"/>
  </r>
  <r>
    <x v="3"/>
    <x v="0"/>
    <x v="9"/>
    <n v="414255"/>
    <n v="2071275"/>
  </r>
  <r>
    <x v="3"/>
    <x v="2"/>
    <x v="10"/>
    <n v="152256"/>
    <n v="9172"/>
  </r>
  <r>
    <x v="4"/>
    <x v="1"/>
    <x v="11"/>
    <n v="609268"/>
    <n v="1523170"/>
  </r>
  <r>
    <x v="4"/>
    <x v="0"/>
    <x v="12"/>
    <n v="434434"/>
    <n v="2068733"/>
  </r>
  <r>
    <x v="4"/>
    <x v="2"/>
    <x v="13"/>
    <n v="172568"/>
    <n v="99177"/>
  </r>
  <r>
    <x v="5"/>
    <x v="1"/>
    <x v="11"/>
    <n v="1257931"/>
    <n v="31448275"/>
  </r>
  <r>
    <x v="5"/>
    <x v="0"/>
    <x v="14"/>
    <n v="755402"/>
    <n v="2360631"/>
  </r>
  <r>
    <x v="5"/>
    <x v="2"/>
    <x v="15"/>
    <n v="124454"/>
    <n v="92876"/>
  </r>
  <r>
    <x v="6"/>
    <x v="1"/>
    <x v="1"/>
    <n v="1012316"/>
    <n v="33743867"/>
  </r>
  <r>
    <x v="6"/>
    <x v="0"/>
    <x v="16"/>
    <n v="649532"/>
    <n v="2319757"/>
  </r>
  <r>
    <x v="6"/>
    <x v="2"/>
    <x v="17"/>
    <n v="136163"/>
    <n v="89581"/>
  </r>
  <r>
    <x v="7"/>
    <x v="1"/>
    <x v="18"/>
    <n v="1415355"/>
    <n v="2830710"/>
  </r>
  <r>
    <x v="7"/>
    <x v="0"/>
    <x v="12"/>
    <n v="422592"/>
    <n v="2012343"/>
  </r>
  <r>
    <x v="7"/>
    <x v="2"/>
    <x v="8"/>
    <n v="134601"/>
    <n v="93473"/>
  </r>
  <r>
    <x v="8"/>
    <x v="1"/>
    <x v="1"/>
    <n v="842556"/>
    <n v="2808520"/>
  </r>
  <r>
    <x v="8"/>
    <x v="0"/>
    <x v="9"/>
    <n v="334983"/>
    <n v="1674915"/>
  </r>
  <r>
    <x v="8"/>
    <x v="2"/>
    <x v="10"/>
    <n v="161374"/>
    <n v="97213"/>
  </r>
  <r>
    <x v="9"/>
    <x v="1"/>
    <x v="6"/>
    <n v="1736544"/>
    <n v="24807771"/>
  </r>
  <r>
    <x v="9"/>
    <x v="0"/>
    <x v="19"/>
    <n v="678200"/>
    <n v="2338621"/>
  </r>
  <r>
    <x v="9"/>
    <x v="2"/>
    <x v="20"/>
    <n v="142172"/>
    <n v="9805"/>
  </r>
  <r>
    <x v="10"/>
    <x v="1"/>
    <x v="11"/>
    <n v="758178"/>
    <n v="1895445"/>
  </r>
  <r>
    <x v="10"/>
    <x v="0"/>
    <x v="21"/>
    <n v="481348"/>
    <n v="2187945"/>
  </r>
  <r>
    <x v="10"/>
    <x v="2"/>
    <x v="22"/>
    <n v="127967"/>
    <n v="8203"/>
  </r>
  <r>
    <x v="11"/>
    <x v="0"/>
    <x v="16"/>
    <n v="632537"/>
    <n v="2259061"/>
  </r>
  <r>
    <x v="11"/>
    <x v="1"/>
    <x v="1"/>
    <n v="361024"/>
    <n v="12034133"/>
  </r>
  <r>
    <x v="11"/>
    <x v="2"/>
    <x v="23"/>
    <n v="153973"/>
    <n v="89002"/>
  </r>
  <r>
    <x v="12"/>
    <x v="1"/>
    <x v="11"/>
    <n v="668094"/>
    <n v="1670235"/>
  </r>
  <r>
    <x v="12"/>
    <x v="0"/>
    <x v="24"/>
    <n v="631454"/>
    <n v="2338719"/>
  </r>
  <r>
    <x v="12"/>
    <x v="2"/>
    <x v="25"/>
    <n v="165567"/>
    <n v="9461"/>
  </r>
  <r>
    <x v="13"/>
    <x v="1"/>
    <x v="1"/>
    <n v="730984"/>
    <n v="24366133"/>
  </r>
  <r>
    <x v="13"/>
    <x v="0"/>
    <x v="16"/>
    <n v="686348"/>
    <n v="2451243"/>
  </r>
  <r>
    <x v="13"/>
    <x v="2"/>
    <x v="26"/>
    <n v="154045"/>
    <n v="87526"/>
  </r>
  <r>
    <x v="14"/>
    <x v="1"/>
    <x v="27"/>
    <n v="1713033"/>
    <n v="21412913"/>
  </r>
  <r>
    <x v="14"/>
    <x v="0"/>
    <x v="12"/>
    <n v="402139"/>
    <n v="1914948"/>
  </r>
  <r>
    <x v="14"/>
    <x v="2"/>
    <x v="22"/>
    <n v="144702"/>
    <n v="92758"/>
  </r>
  <r>
    <x v="15"/>
    <x v="1"/>
    <x v="4"/>
    <n v="338223"/>
    <n v="3382230"/>
  </r>
  <r>
    <x v="15"/>
    <x v="0"/>
    <x v="28"/>
    <n v="198073"/>
    <n v="2200811"/>
  </r>
  <r>
    <x v="15"/>
    <x v="2"/>
    <x v="29"/>
    <n v="40923"/>
    <n v="8896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4DC0C9-093B-4659-A259-C4766A44FB15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fieldListSortAscending="1">
  <location ref="G1:K13" firstHeaderRow="1" firstDataRow="2" firstDataCol="1"/>
  <pivotFields count="5">
    <pivotField axis="axisRow" showAll="0" measureFilter="1" sortType="descending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4">
        <item x="0"/>
        <item x="2"/>
        <item x="1"/>
        <item t="default"/>
      </items>
    </pivotField>
    <pivotField showAll="0"/>
    <pivotField dataField="1" showAll="0"/>
    <pivotField showAll="0"/>
  </pivotFields>
  <rowFields count="1">
    <field x="0"/>
  </rowFields>
  <rowItems count="11">
    <i>
      <x v="2"/>
    </i>
    <i>
      <x v="9"/>
    </i>
    <i>
      <x v="14"/>
    </i>
    <i>
      <x v="5"/>
    </i>
    <i>
      <x v="7"/>
    </i>
    <i>
      <x v="6"/>
    </i>
    <i>
      <x v="13"/>
    </i>
    <i>
      <x v="12"/>
    </i>
    <i>
      <x v="1"/>
    </i>
    <i>
      <x v="10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Total_Revenue" fld="3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DBD5AE-3D40-4833-BBD1-9355E224B0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fieldListSortAscending="1">
  <location ref="A1:E13" firstHeaderRow="1" firstDataRow="2" firstDataCol="1"/>
  <pivotFields count="5">
    <pivotField axis="axisRow" showAll="0" measureFilter="1" sortType="descending">
      <items count="29">
        <item x="25"/>
        <item x="3"/>
        <item x="22"/>
        <item x="12"/>
        <item x="17"/>
        <item x="18"/>
        <item x="9"/>
        <item x="14"/>
        <item x="21"/>
        <item x="4"/>
        <item x="0"/>
        <item x="10"/>
        <item x="7"/>
        <item x="8"/>
        <item x="13"/>
        <item x="1"/>
        <item x="11"/>
        <item x="23"/>
        <item x="5"/>
        <item x="15"/>
        <item x="19"/>
        <item x="26"/>
        <item x="20"/>
        <item x="2"/>
        <item x="24"/>
        <item x="6"/>
        <item x="27"/>
        <item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4">
        <item x="1"/>
        <item x="0"/>
        <item x="2"/>
        <item t="default"/>
      </items>
    </pivotField>
    <pivotField showAll="0"/>
    <pivotField dataField="1" showAll="0"/>
    <pivotField showAll="0"/>
  </pivotFields>
  <rowFields count="1">
    <field x="0"/>
  </rowFields>
  <rowItems count="11">
    <i>
      <x v="10"/>
    </i>
    <i>
      <x/>
    </i>
    <i>
      <x v="4"/>
    </i>
    <i>
      <x v="19"/>
    </i>
    <i>
      <x v="2"/>
    </i>
    <i>
      <x v="12"/>
    </i>
    <i>
      <x v="9"/>
    </i>
    <i>
      <x v="17"/>
    </i>
    <i>
      <x v="13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Total_Revenue" fld="3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" xr16:uid="{50C33593-297A-4BB3-ABB9-F6329982C7B2}" autoFormatId="16" applyNumberFormats="0" applyBorderFormats="0" applyFontFormats="0" applyPatternFormats="0" applyAlignmentFormats="0" applyWidthHeightFormats="0">
  <queryTableRefresh nextId="5">
    <queryTableFields count="4">
      <queryTableField id="1" name="GameGenre" tableColumnId="1"/>
      <queryTableField id="2" name="Total_Players" tableColumnId="2"/>
      <queryTableField id="3" name="Total_Revenue" tableColumnId="3"/>
      <queryTableField id="4" name="ARPU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" xr16:uid="{C60958CD-E889-4C44-8B67-D0C41EEEAA1D}" autoFormatId="16" applyNumberFormats="0" applyBorderFormats="0" applyFontFormats="0" applyPatternFormats="0" applyAlignmentFormats="0" applyWidthHeightFormats="0">
  <queryTableRefresh nextId="5">
    <queryTableFields count="4">
      <queryTableField id="1" name="Country" tableColumnId="1"/>
      <queryTableField id="2" name="Total_Players" tableColumnId="2"/>
      <queryTableField id="3" name="Total_Revenue" tableColumnId="3"/>
      <queryTableField id="4" name="ARPU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EB397212-0B5B-45D1-B432-0E075F548F00}" autoFormatId="16" applyNumberFormats="0" applyBorderFormats="0" applyFontFormats="0" applyPatternFormats="0" applyAlignmentFormats="0" applyWidthHeightFormats="0">
  <queryTableRefresh nextId="5">
    <queryTableFields count="4">
      <queryTableField id="1" name="Device" tableColumnId="1"/>
      <queryTableField id="2" name="Total_Players" tableColumnId="2"/>
      <queryTableField id="3" name="Total_Revenue" tableColumnId="3"/>
      <queryTableField id="4" name="Avg_Revenue_Per_Transaction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B65ADDA3-836E-4D39-9CC3-545168F306B5}" autoFormatId="16" applyNumberFormats="0" applyBorderFormats="0" applyFontFormats="0" applyPatternFormats="0" applyAlignmentFormats="0" applyWidthHeightFormats="0">
  <queryTableRefresh nextId="4">
    <queryTableFields count="3">
      <queryTableField id="1" name="Revenue_Month" tableColumnId="1"/>
      <queryTableField id="2" name="Total_Revenue" tableColumnId="2"/>
      <queryTableField id="3" name="Total_Users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A25B524-F6F6-48F5-AA32-E137BCAE7400}" autoFormatId="16" applyNumberFormats="0" applyBorderFormats="0" applyFontFormats="0" applyPatternFormats="0" applyAlignmentFormats="0" applyWidthHeightFormats="0">
  <queryTableRefresh nextId="6">
    <queryTableFields count="5">
      <queryTableField id="1" name="UserID" tableColumnId="1"/>
      <queryTableField id="2" name="Country" tableColumnId="2"/>
      <queryTableField id="3" name="GameGenre" tableColumnId="3"/>
      <queryTableField id="4" name="Age_Bucket" tableColumnId="4"/>
      <queryTableField id="5" name="Total_Spe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4ECF08-1C5D-4CF5-B6A3-93F698F6FAC7}" name="q7_" displayName="q7_" ref="A1:D17" tableType="queryTable" totalsRowShown="0">
  <autoFilter ref="A1:D17" xr:uid="{DC4ECF08-1C5D-4CF5-B6A3-93F698F6FAC7}"/>
  <tableColumns count="4">
    <tableColumn id="1" xr3:uid="{05A3E3BB-B8E5-4AFF-BC50-7949519FA8BC}" uniqueName="1" name="GameGenre" queryTableFieldId="1" dataDxfId="6"/>
    <tableColumn id="2" xr3:uid="{AD6EB25B-D7D8-4DEF-B586-40E46BC24019}" uniqueName="2" name="Total_Players" queryTableFieldId="2"/>
    <tableColumn id="3" xr3:uid="{DDFEC311-274A-4B7F-9461-1824A0FEE8AD}" uniqueName="3" name="Total_Revenue" queryTableFieldId="3"/>
    <tableColumn id="4" xr3:uid="{F3EDCC1C-EA15-474C-B1B2-8921E1A86219}" uniqueName="4" name="ARPU" queryTableField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C8A00B-ECAB-4214-82CE-618BA3421AC3}" name="q6_" displayName="q6_" ref="A1:D29" tableType="queryTable" totalsRowShown="0">
  <autoFilter ref="A1:D29" xr:uid="{D6C8A00B-ECAB-4214-82CE-618BA3421AC3}"/>
  <tableColumns count="4">
    <tableColumn id="1" xr3:uid="{474A0BAC-D6B0-4623-89D6-F7836A396485}" uniqueName="1" name="Country" queryTableFieldId="1" dataDxfId="5"/>
    <tableColumn id="2" xr3:uid="{152A6A2C-D840-4920-8CCE-A3E486B30DC2}" uniqueName="2" name="Total_Players" queryTableFieldId="2"/>
    <tableColumn id="3" xr3:uid="{06DE4262-9220-4E3D-A1BD-B163C5D66B25}" uniqueName="3" name="Total_Revenue" queryTableFieldId="3"/>
    <tableColumn id="4" xr3:uid="{2D6E9CFC-4C8D-4EF5-B70F-D238B33643E0}" uniqueName="4" name="ARPU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4FB4C8E-5A0C-4FFA-82EE-885AD1B3CD6D}" name="query4" displayName="query4" ref="A1:D4" tableType="queryTable" totalsRowShown="0">
  <autoFilter ref="A1:D4" xr:uid="{24FB4C8E-5A0C-4FFA-82EE-885AD1B3CD6D}"/>
  <tableColumns count="4">
    <tableColumn id="1" xr3:uid="{47F192B0-C1F1-472F-83D8-20ACA507968D}" uniqueName="1" name="Device" queryTableFieldId="1" dataDxfId="7"/>
    <tableColumn id="2" xr3:uid="{23EAD306-B09D-46CE-A9BC-D71D981454EA}" uniqueName="2" name="Total_Players" queryTableFieldId="2"/>
    <tableColumn id="3" xr3:uid="{9F0F3091-83CE-4BF0-BD5D-1CE13A8056D2}" uniqueName="3" name="Total_Revenue" queryTableFieldId="3"/>
    <tableColumn id="4" xr3:uid="{092D55E4-8147-4BF3-80AF-BAFD16447F56}" uniqueName="4" name="Avg_Revenue_Per_Transaction" queryTableField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F3D2C0-A754-4D64-BFDC-C50916F2FB4B}" name="query3" displayName="query3" ref="A1:C9" tableType="queryTable" totalsRowShown="0">
  <autoFilter ref="A1:C9" xr:uid="{CFF3D2C0-A754-4D64-BFDC-C50916F2FB4B}"/>
  <tableColumns count="3">
    <tableColumn id="1" xr3:uid="{6E619B1B-1151-4C6D-84F0-C4F7C1C672D7}" uniqueName="1" name="Revenue_Month" queryTableFieldId="1" dataDxfId="4"/>
    <tableColumn id="2" xr3:uid="{692AB49B-8BE7-4121-B98C-5C5EF5F06620}" uniqueName="2" name="Total_Revenue" queryTableFieldId="2"/>
    <tableColumn id="3" xr3:uid="{E94ABEC6-54FC-4DF5-8241-1E573BDFB2C6}" uniqueName="3" name="Total_Users" queryTableFieldId="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CC6F28-D69C-4D16-B738-B67460FCBE02}" name="query1" displayName="query1" ref="A1:E11" tableType="queryTable" totalsRowShown="0">
  <autoFilter ref="A1:E11" xr:uid="{12CC6F28-D69C-4D16-B738-B67460FCBE02}"/>
  <tableColumns count="5">
    <tableColumn id="1" xr3:uid="{A693D2AD-490C-433D-BC74-B10B407087DD}" uniqueName="1" name="UserID" queryTableFieldId="1" dataDxfId="3"/>
    <tableColumn id="2" xr3:uid="{0CB3FBF6-23B5-45F7-BBE3-0FDC55A94BC3}" uniqueName="2" name="Country" queryTableFieldId="2" dataDxfId="2"/>
    <tableColumn id="3" xr3:uid="{E1363149-0696-4E5E-94BF-654115941FE2}" uniqueName="3" name="GameGenre" queryTableFieldId="3" dataDxfId="1"/>
    <tableColumn id="4" xr3:uid="{5F7F6002-280F-404A-8018-CC1FAD83F768}" uniqueName="4" name="Age_Bucket" queryTableFieldId="4" dataDxfId="0"/>
    <tableColumn id="5" xr3:uid="{FCC80820-C6FF-4A97-B549-6C604F54CB55}" uniqueName="5" name="Total_Spent" queryTableField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033B-6009-4E37-B9DD-543BF8782222}">
  <dimension ref="A1:K13"/>
  <sheetViews>
    <sheetView tabSelected="1" topLeftCell="D19" workbookViewId="0">
      <selection activeCell="T30" sqref="T30"/>
    </sheetView>
  </sheetViews>
  <sheetFormatPr defaultRowHeight="14.5" x14ac:dyDescent="0.35"/>
  <cols>
    <col min="1" max="1" width="19.7265625" bestFit="1" customWidth="1"/>
    <col min="2" max="2" width="15.26953125" bestFit="1" customWidth="1"/>
    <col min="3" max="3" width="7.7265625" bestFit="1" customWidth="1"/>
    <col min="4" max="4" width="8.81640625" bestFit="1" customWidth="1"/>
    <col min="5" max="5" width="10.7265625" bestFit="1" customWidth="1"/>
    <col min="7" max="7" width="19.7265625" bestFit="1" customWidth="1"/>
    <col min="8" max="8" width="15.26953125" bestFit="1" customWidth="1"/>
    <col min="9" max="9" width="7.81640625" bestFit="1" customWidth="1"/>
    <col min="10" max="10" width="8.81640625" bestFit="1" customWidth="1"/>
    <col min="11" max="11" width="10.7265625" bestFit="1" customWidth="1"/>
  </cols>
  <sheetData>
    <row r="1" spans="1:11" x14ac:dyDescent="0.35">
      <c r="A1" s="2" t="s">
        <v>77</v>
      </c>
      <c r="B1" s="2" t="s">
        <v>76</v>
      </c>
      <c r="G1" s="2" t="s">
        <v>77</v>
      </c>
      <c r="H1" s="2" t="s">
        <v>76</v>
      </c>
    </row>
    <row r="2" spans="1:11" x14ac:dyDescent="0.35">
      <c r="A2" s="2" t="s">
        <v>74</v>
      </c>
      <c r="B2" t="s">
        <v>59</v>
      </c>
      <c r="C2" t="s">
        <v>38</v>
      </c>
      <c r="D2" t="s">
        <v>60</v>
      </c>
      <c r="E2" t="s">
        <v>75</v>
      </c>
      <c r="G2" s="2" t="s">
        <v>74</v>
      </c>
      <c r="H2" t="s">
        <v>59</v>
      </c>
      <c r="I2" t="s">
        <v>38</v>
      </c>
      <c r="J2" t="s">
        <v>60</v>
      </c>
      <c r="K2" t="s">
        <v>75</v>
      </c>
    </row>
    <row r="3" spans="1:11" x14ac:dyDescent="0.35">
      <c r="A3" s="3" t="s">
        <v>29</v>
      </c>
      <c r="B3">
        <v>795176</v>
      </c>
      <c r="C3">
        <v>180276</v>
      </c>
      <c r="D3">
        <v>1624493</v>
      </c>
      <c r="E3">
        <v>2599945</v>
      </c>
      <c r="G3" s="3" t="s">
        <v>11</v>
      </c>
      <c r="H3">
        <v>552832</v>
      </c>
      <c r="I3">
        <v>125849</v>
      </c>
      <c r="J3">
        <v>1917777</v>
      </c>
      <c r="K3">
        <v>2596458</v>
      </c>
    </row>
    <row r="4" spans="1:11" x14ac:dyDescent="0.35">
      <c r="A4" s="3" t="s">
        <v>6</v>
      </c>
      <c r="B4">
        <v>532649</v>
      </c>
      <c r="C4">
        <v>56823</v>
      </c>
      <c r="D4">
        <v>1019857</v>
      </c>
      <c r="E4">
        <v>1609329</v>
      </c>
      <c r="G4" s="3" t="s">
        <v>71</v>
      </c>
      <c r="H4">
        <v>678200</v>
      </c>
      <c r="I4">
        <v>142172</v>
      </c>
      <c r="J4">
        <v>1736544</v>
      </c>
      <c r="K4">
        <v>2556916</v>
      </c>
    </row>
    <row r="5" spans="1:11" x14ac:dyDescent="0.35">
      <c r="A5" s="3" t="s">
        <v>23</v>
      </c>
      <c r="B5">
        <v>234179</v>
      </c>
      <c r="C5">
        <v>78793</v>
      </c>
      <c r="D5">
        <v>1111829</v>
      </c>
      <c r="E5">
        <v>1424801</v>
      </c>
      <c r="G5" s="3" t="s">
        <v>7</v>
      </c>
      <c r="H5">
        <v>402139</v>
      </c>
      <c r="I5">
        <v>144702</v>
      </c>
      <c r="J5">
        <v>1713033</v>
      </c>
      <c r="K5">
        <v>2259874</v>
      </c>
    </row>
    <row r="6" spans="1:11" x14ac:dyDescent="0.35">
      <c r="A6" s="3" t="s">
        <v>50</v>
      </c>
      <c r="B6">
        <v>198714</v>
      </c>
      <c r="C6">
        <v>69429</v>
      </c>
      <c r="D6">
        <v>1128726</v>
      </c>
      <c r="E6">
        <v>1396869</v>
      </c>
      <c r="G6" s="3" t="s">
        <v>27</v>
      </c>
      <c r="H6">
        <v>755402</v>
      </c>
      <c r="I6">
        <v>124454</v>
      </c>
      <c r="J6">
        <v>1257931</v>
      </c>
      <c r="K6">
        <v>2137787</v>
      </c>
    </row>
    <row r="7" spans="1:11" x14ac:dyDescent="0.35">
      <c r="A7" s="3" t="s">
        <v>26</v>
      </c>
      <c r="B7">
        <v>429054</v>
      </c>
      <c r="C7">
        <v>72624</v>
      </c>
      <c r="D7">
        <v>868896</v>
      </c>
      <c r="E7">
        <v>1370574</v>
      </c>
      <c r="G7" s="3" t="s">
        <v>24</v>
      </c>
      <c r="H7">
        <v>422592</v>
      </c>
      <c r="I7">
        <v>134601</v>
      </c>
      <c r="J7">
        <v>1415355</v>
      </c>
      <c r="K7">
        <v>1972548</v>
      </c>
    </row>
    <row r="8" spans="1:11" x14ac:dyDescent="0.35">
      <c r="A8" s="3" t="s">
        <v>34</v>
      </c>
      <c r="B8">
        <v>225268</v>
      </c>
      <c r="C8">
        <v>86396</v>
      </c>
      <c r="D8">
        <v>1033635</v>
      </c>
      <c r="E8">
        <v>1345299</v>
      </c>
      <c r="G8" s="3" t="s">
        <v>19</v>
      </c>
      <c r="H8">
        <v>649532</v>
      </c>
      <c r="I8">
        <v>136163</v>
      </c>
      <c r="J8">
        <v>1012316</v>
      </c>
      <c r="K8">
        <v>1798011</v>
      </c>
    </row>
    <row r="9" spans="1:11" x14ac:dyDescent="0.35">
      <c r="A9" s="3" t="s">
        <v>42</v>
      </c>
      <c r="B9">
        <v>275898</v>
      </c>
      <c r="C9">
        <v>76597</v>
      </c>
      <c r="D9">
        <v>934421</v>
      </c>
      <c r="E9">
        <v>1286916</v>
      </c>
      <c r="G9" s="3" t="s">
        <v>73</v>
      </c>
      <c r="H9">
        <v>686348</v>
      </c>
      <c r="I9">
        <v>154045</v>
      </c>
      <c r="J9">
        <v>730984</v>
      </c>
      <c r="K9">
        <v>1571377</v>
      </c>
    </row>
    <row r="10" spans="1:11" x14ac:dyDescent="0.35">
      <c r="A10" s="3" t="s">
        <v>18</v>
      </c>
      <c r="B10">
        <v>261666</v>
      </c>
      <c r="C10">
        <v>63309</v>
      </c>
      <c r="D10">
        <v>899578</v>
      </c>
      <c r="E10">
        <v>1224553</v>
      </c>
      <c r="G10" s="3" t="s">
        <v>21</v>
      </c>
      <c r="H10">
        <v>631454</v>
      </c>
      <c r="I10">
        <v>165567</v>
      </c>
      <c r="J10">
        <v>668094</v>
      </c>
      <c r="K10">
        <v>1465115</v>
      </c>
    </row>
    <row r="11" spans="1:11" x14ac:dyDescent="0.35">
      <c r="A11" s="3" t="s">
        <v>45</v>
      </c>
      <c r="B11">
        <v>414075</v>
      </c>
      <c r="C11">
        <v>71427</v>
      </c>
      <c r="D11">
        <v>736748</v>
      </c>
      <c r="E11">
        <v>1222250</v>
      </c>
      <c r="G11" s="3" t="s">
        <v>15</v>
      </c>
      <c r="H11">
        <v>788235</v>
      </c>
      <c r="I11">
        <v>99836</v>
      </c>
      <c r="J11">
        <v>493028</v>
      </c>
      <c r="K11">
        <v>1381099</v>
      </c>
    </row>
    <row r="12" spans="1:11" x14ac:dyDescent="0.35">
      <c r="A12" s="3" t="s">
        <v>10</v>
      </c>
      <c r="B12">
        <v>245641</v>
      </c>
      <c r="C12">
        <v>78652</v>
      </c>
      <c r="D12">
        <v>805037</v>
      </c>
      <c r="E12">
        <v>1129330</v>
      </c>
      <c r="G12" s="3" t="s">
        <v>32</v>
      </c>
      <c r="H12">
        <v>481348</v>
      </c>
      <c r="I12">
        <v>127967</v>
      </c>
      <c r="J12">
        <v>758178</v>
      </c>
      <c r="K12">
        <v>1367493</v>
      </c>
    </row>
    <row r="13" spans="1:11" x14ac:dyDescent="0.35">
      <c r="A13" s="3" t="s">
        <v>75</v>
      </c>
      <c r="B13">
        <v>3612320</v>
      </c>
      <c r="C13">
        <v>834326</v>
      </c>
      <c r="D13">
        <v>10163220</v>
      </c>
      <c r="E13">
        <v>14609866</v>
      </c>
      <c r="G13" s="3" t="s">
        <v>75</v>
      </c>
      <c r="H13">
        <v>6048082</v>
      </c>
      <c r="I13">
        <v>1355356</v>
      </c>
      <c r="J13">
        <v>11703240</v>
      </c>
      <c r="K13">
        <v>19106678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EDC44-3AF4-470B-B01B-2E421D3D4255}">
  <dimension ref="A1:D17"/>
  <sheetViews>
    <sheetView topLeftCell="A7" workbookViewId="0"/>
  </sheetViews>
  <sheetFormatPr defaultRowHeight="14.5" x14ac:dyDescent="0.35"/>
  <cols>
    <col min="1" max="1" width="13.08984375" bestFit="1" customWidth="1"/>
    <col min="2" max="2" width="14.36328125" bestFit="1" customWidth="1"/>
    <col min="3" max="3" width="15.6328125" bestFit="1" customWidth="1"/>
    <col min="4" max="4" width="7.81640625" bestFit="1" customWidth="1"/>
  </cols>
  <sheetData>
    <row r="1" spans="1:4" x14ac:dyDescent="0.35">
      <c r="A1" t="s">
        <v>2</v>
      </c>
      <c r="B1" t="s">
        <v>63</v>
      </c>
      <c r="C1" t="s">
        <v>36</v>
      </c>
      <c r="D1" t="s">
        <v>37</v>
      </c>
    </row>
    <row r="2" spans="1:4" x14ac:dyDescent="0.35">
      <c r="A2" t="s">
        <v>11</v>
      </c>
      <c r="B2">
        <v>185</v>
      </c>
      <c r="C2">
        <v>2596458</v>
      </c>
      <c r="D2">
        <v>1403491</v>
      </c>
    </row>
    <row r="3" spans="1:4" x14ac:dyDescent="0.35">
      <c r="A3" t="s">
        <v>71</v>
      </c>
      <c r="B3">
        <v>190</v>
      </c>
      <c r="C3">
        <v>2556916</v>
      </c>
      <c r="D3">
        <v>1345745</v>
      </c>
    </row>
    <row r="4" spans="1:4" x14ac:dyDescent="0.35">
      <c r="A4" t="s">
        <v>7</v>
      </c>
      <c r="B4">
        <v>193</v>
      </c>
      <c r="C4">
        <v>2259874</v>
      </c>
      <c r="D4">
        <v>1170919</v>
      </c>
    </row>
    <row r="5" spans="1:4" x14ac:dyDescent="0.35">
      <c r="A5" t="s">
        <v>27</v>
      </c>
      <c r="B5">
        <v>180</v>
      </c>
      <c r="C5">
        <v>2137787</v>
      </c>
      <c r="D5">
        <v>1187659</v>
      </c>
    </row>
    <row r="6" spans="1:4" x14ac:dyDescent="0.35">
      <c r="A6" t="s">
        <v>24</v>
      </c>
      <c r="B6">
        <v>178</v>
      </c>
      <c r="C6">
        <v>1972548</v>
      </c>
      <c r="D6">
        <v>1108173</v>
      </c>
    </row>
    <row r="7" spans="1:4" x14ac:dyDescent="0.35">
      <c r="A7" t="s">
        <v>19</v>
      </c>
      <c r="B7">
        <v>193</v>
      </c>
      <c r="C7">
        <v>1798011</v>
      </c>
      <c r="D7">
        <v>931612</v>
      </c>
    </row>
    <row r="8" spans="1:4" x14ac:dyDescent="0.35">
      <c r="A8" t="s">
        <v>73</v>
      </c>
      <c r="B8">
        <v>214</v>
      </c>
      <c r="C8">
        <v>1571377</v>
      </c>
      <c r="D8">
        <v>734288</v>
      </c>
    </row>
    <row r="9" spans="1:4" x14ac:dyDescent="0.35">
      <c r="A9" t="s">
        <v>21</v>
      </c>
      <c r="B9">
        <v>215</v>
      </c>
      <c r="C9">
        <v>1465115</v>
      </c>
      <c r="D9">
        <v>681449</v>
      </c>
    </row>
    <row r="10" spans="1:4" x14ac:dyDescent="0.35">
      <c r="A10" t="s">
        <v>15</v>
      </c>
      <c r="B10">
        <v>165</v>
      </c>
      <c r="C10">
        <v>1381099</v>
      </c>
      <c r="D10">
        <v>83703</v>
      </c>
    </row>
    <row r="11" spans="1:4" x14ac:dyDescent="0.35">
      <c r="A11" t="s">
        <v>32</v>
      </c>
      <c r="B11">
        <v>191</v>
      </c>
      <c r="C11">
        <v>1367493</v>
      </c>
      <c r="D11">
        <v>715965</v>
      </c>
    </row>
    <row r="12" spans="1:4" x14ac:dyDescent="0.35">
      <c r="A12" t="s">
        <v>70</v>
      </c>
      <c r="B12">
        <v>199</v>
      </c>
      <c r="C12">
        <v>1338913</v>
      </c>
      <c r="D12">
        <v>672821</v>
      </c>
    </row>
    <row r="13" spans="1:4" x14ac:dyDescent="0.35">
      <c r="A13" t="s">
        <v>68</v>
      </c>
      <c r="B13">
        <v>196</v>
      </c>
      <c r="C13">
        <v>1237050</v>
      </c>
      <c r="D13">
        <v>631148</v>
      </c>
    </row>
    <row r="14" spans="1:4" x14ac:dyDescent="0.35">
      <c r="A14" t="s">
        <v>69</v>
      </c>
      <c r="B14">
        <v>205</v>
      </c>
      <c r="C14">
        <v>1216270</v>
      </c>
      <c r="D14">
        <v>593302</v>
      </c>
    </row>
    <row r="15" spans="1:4" x14ac:dyDescent="0.35">
      <c r="A15" t="s">
        <v>72</v>
      </c>
      <c r="B15">
        <v>216</v>
      </c>
      <c r="C15">
        <v>1147534</v>
      </c>
      <c r="D15">
        <v>531266</v>
      </c>
    </row>
    <row r="16" spans="1:4" x14ac:dyDescent="0.35">
      <c r="A16" t="s">
        <v>67</v>
      </c>
      <c r="B16">
        <v>185</v>
      </c>
      <c r="C16">
        <v>1098171</v>
      </c>
      <c r="D16">
        <v>593606</v>
      </c>
    </row>
    <row r="17" spans="1:4" x14ac:dyDescent="0.35">
      <c r="A17" t="s">
        <v>58</v>
      </c>
      <c r="B17">
        <v>59</v>
      </c>
      <c r="C17">
        <v>577219</v>
      </c>
      <c r="D17">
        <v>978337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1F52-675D-480D-AEDB-0384F0FE83C1}">
  <dimension ref="A1:D29"/>
  <sheetViews>
    <sheetView topLeftCell="A13" workbookViewId="0"/>
  </sheetViews>
  <sheetFormatPr defaultRowHeight="14.5" x14ac:dyDescent="0.35"/>
  <cols>
    <col min="1" max="1" width="11.26953125" bestFit="1" customWidth="1"/>
    <col min="2" max="2" width="14.36328125" bestFit="1" customWidth="1"/>
    <col min="3" max="3" width="15.6328125" bestFit="1" customWidth="1"/>
    <col min="4" max="4" width="7.81640625" bestFit="1" customWidth="1"/>
  </cols>
  <sheetData>
    <row r="1" spans="1:4" x14ac:dyDescent="0.35">
      <c r="A1" t="s">
        <v>1</v>
      </c>
      <c r="B1" t="s">
        <v>63</v>
      </c>
      <c r="C1" t="s">
        <v>36</v>
      </c>
      <c r="D1" t="s">
        <v>37</v>
      </c>
    </row>
    <row r="2" spans="1:4" x14ac:dyDescent="0.35">
      <c r="A2" t="s">
        <v>29</v>
      </c>
      <c r="B2">
        <v>237</v>
      </c>
      <c r="C2">
        <v>2599945</v>
      </c>
      <c r="D2">
        <v>1097023</v>
      </c>
    </row>
    <row r="3" spans="1:4" x14ac:dyDescent="0.35">
      <c r="A3" t="s">
        <v>40</v>
      </c>
      <c r="B3">
        <v>117</v>
      </c>
      <c r="C3">
        <v>580049</v>
      </c>
      <c r="D3">
        <v>495768</v>
      </c>
    </row>
    <row r="4" spans="1:4" x14ac:dyDescent="0.35">
      <c r="A4" t="s">
        <v>43</v>
      </c>
      <c r="B4">
        <v>116</v>
      </c>
      <c r="C4">
        <v>578682</v>
      </c>
      <c r="D4">
        <v>498864</v>
      </c>
    </row>
    <row r="5" spans="1:4" x14ac:dyDescent="0.35">
      <c r="A5" t="s">
        <v>42</v>
      </c>
      <c r="B5">
        <v>113</v>
      </c>
      <c r="C5">
        <v>1286916</v>
      </c>
      <c r="D5">
        <v>1138864</v>
      </c>
    </row>
    <row r="6" spans="1:4" x14ac:dyDescent="0.35">
      <c r="A6" t="s">
        <v>39</v>
      </c>
      <c r="B6">
        <v>111</v>
      </c>
      <c r="C6">
        <v>402516</v>
      </c>
      <c r="D6">
        <v>362627</v>
      </c>
    </row>
    <row r="7" spans="1:4" x14ac:dyDescent="0.35">
      <c r="A7" t="s">
        <v>41</v>
      </c>
      <c r="B7">
        <v>111</v>
      </c>
      <c r="C7">
        <v>368549</v>
      </c>
      <c r="D7">
        <v>332026</v>
      </c>
    </row>
    <row r="8" spans="1:4" x14ac:dyDescent="0.35">
      <c r="A8" t="s">
        <v>45</v>
      </c>
      <c r="B8">
        <v>110</v>
      </c>
      <c r="C8">
        <v>1222250</v>
      </c>
      <c r="D8">
        <v>1111136</v>
      </c>
    </row>
    <row r="9" spans="1:4" x14ac:dyDescent="0.35">
      <c r="A9" t="s">
        <v>34</v>
      </c>
      <c r="B9">
        <v>110</v>
      </c>
      <c r="C9">
        <v>1345299</v>
      </c>
      <c r="D9">
        <v>1222999</v>
      </c>
    </row>
    <row r="10" spans="1:4" x14ac:dyDescent="0.35">
      <c r="A10" t="s">
        <v>48</v>
      </c>
      <c r="B10">
        <v>109</v>
      </c>
      <c r="C10">
        <v>770041</v>
      </c>
      <c r="D10">
        <v>70646</v>
      </c>
    </row>
    <row r="11" spans="1:4" x14ac:dyDescent="0.35">
      <c r="A11" t="s">
        <v>44</v>
      </c>
      <c r="B11">
        <v>106</v>
      </c>
      <c r="C11">
        <v>804797</v>
      </c>
      <c r="D11">
        <v>759242</v>
      </c>
    </row>
    <row r="12" spans="1:4" x14ac:dyDescent="0.35">
      <c r="A12" t="s">
        <v>46</v>
      </c>
      <c r="B12">
        <v>106</v>
      </c>
      <c r="C12">
        <v>700567</v>
      </c>
      <c r="D12">
        <v>660912</v>
      </c>
    </row>
    <row r="13" spans="1:4" x14ac:dyDescent="0.35">
      <c r="A13" t="s">
        <v>51</v>
      </c>
      <c r="B13">
        <v>104</v>
      </c>
      <c r="C13">
        <v>1073833</v>
      </c>
      <c r="D13">
        <v>1032532</v>
      </c>
    </row>
    <row r="14" spans="1:4" x14ac:dyDescent="0.35">
      <c r="A14" t="s">
        <v>54</v>
      </c>
      <c r="B14">
        <v>104</v>
      </c>
      <c r="C14">
        <v>470709</v>
      </c>
      <c r="D14">
        <v>452605</v>
      </c>
    </row>
    <row r="15" spans="1:4" x14ac:dyDescent="0.35">
      <c r="A15" t="s">
        <v>14</v>
      </c>
      <c r="B15">
        <v>104</v>
      </c>
      <c r="C15">
        <v>1109083</v>
      </c>
      <c r="D15">
        <v>1066426</v>
      </c>
    </row>
    <row r="16" spans="1:4" x14ac:dyDescent="0.35">
      <c r="A16" t="s">
        <v>10</v>
      </c>
      <c r="B16">
        <v>103</v>
      </c>
      <c r="C16">
        <v>1129330</v>
      </c>
      <c r="D16">
        <v>1096437</v>
      </c>
    </row>
    <row r="17" spans="1:4" x14ac:dyDescent="0.35">
      <c r="A17" t="s">
        <v>47</v>
      </c>
      <c r="B17">
        <v>103</v>
      </c>
      <c r="C17">
        <v>339495</v>
      </c>
      <c r="D17">
        <v>329607</v>
      </c>
    </row>
    <row r="18" spans="1:4" x14ac:dyDescent="0.35">
      <c r="A18" t="s">
        <v>23</v>
      </c>
      <c r="B18">
        <v>101</v>
      </c>
      <c r="C18">
        <v>1424801</v>
      </c>
      <c r="D18">
        <v>1410694</v>
      </c>
    </row>
    <row r="19" spans="1:4" x14ac:dyDescent="0.35">
      <c r="A19" t="s">
        <v>50</v>
      </c>
      <c r="B19">
        <v>100</v>
      </c>
      <c r="C19">
        <v>1396869</v>
      </c>
      <c r="D19">
        <v>1396869</v>
      </c>
    </row>
    <row r="20" spans="1:4" x14ac:dyDescent="0.35">
      <c r="A20" t="s">
        <v>49</v>
      </c>
      <c r="B20">
        <v>100</v>
      </c>
      <c r="C20">
        <v>610594</v>
      </c>
      <c r="D20">
        <v>610594</v>
      </c>
    </row>
    <row r="21" spans="1:4" x14ac:dyDescent="0.35">
      <c r="A21" t="s">
        <v>26</v>
      </c>
      <c r="B21">
        <v>100</v>
      </c>
      <c r="C21">
        <v>1370574</v>
      </c>
      <c r="D21">
        <v>1370574</v>
      </c>
    </row>
    <row r="22" spans="1:4" x14ac:dyDescent="0.35">
      <c r="A22" t="s">
        <v>52</v>
      </c>
      <c r="B22">
        <v>98</v>
      </c>
      <c r="C22">
        <v>638509</v>
      </c>
      <c r="D22">
        <v>65154</v>
      </c>
    </row>
    <row r="23" spans="1:4" x14ac:dyDescent="0.35">
      <c r="A23" t="s">
        <v>53</v>
      </c>
      <c r="B23">
        <v>93</v>
      </c>
      <c r="C23">
        <v>414224</v>
      </c>
      <c r="D23">
        <v>445402</v>
      </c>
    </row>
    <row r="24" spans="1:4" x14ac:dyDescent="0.35">
      <c r="A24" t="s">
        <v>6</v>
      </c>
      <c r="B24">
        <v>91</v>
      </c>
      <c r="C24">
        <v>1609329</v>
      </c>
      <c r="D24">
        <v>1768493</v>
      </c>
    </row>
    <row r="25" spans="1:4" x14ac:dyDescent="0.35">
      <c r="A25" t="s">
        <v>56</v>
      </c>
      <c r="B25">
        <v>90</v>
      </c>
      <c r="C25">
        <v>661734</v>
      </c>
      <c r="D25">
        <v>73526</v>
      </c>
    </row>
    <row r="26" spans="1:4" x14ac:dyDescent="0.35">
      <c r="A26" t="s">
        <v>18</v>
      </c>
      <c r="B26">
        <v>90</v>
      </c>
      <c r="C26">
        <v>1224553</v>
      </c>
      <c r="D26">
        <v>1360614</v>
      </c>
    </row>
    <row r="27" spans="1:4" x14ac:dyDescent="0.35">
      <c r="A27" t="s">
        <v>55</v>
      </c>
      <c r="B27">
        <v>90</v>
      </c>
      <c r="C27">
        <v>334826</v>
      </c>
      <c r="D27">
        <v>372029</v>
      </c>
    </row>
    <row r="28" spans="1:4" x14ac:dyDescent="0.35">
      <c r="A28" t="s">
        <v>57</v>
      </c>
      <c r="B28">
        <v>88</v>
      </c>
      <c r="C28">
        <v>1095539</v>
      </c>
      <c r="D28">
        <v>1244931</v>
      </c>
    </row>
    <row r="29" spans="1:4" x14ac:dyDescent="0.35">
      <c r="A29" t="s">
        <v>58</v>
      </c>
      <c r="B29">
        <v>59</v>
      </c>
      <c r="C29">
        <v>158222</v>
      </c>
      <c r="D29">
        <v>268173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3FA7E-5931-42B3-B359-7C28D1A91E50}">
  <dimension ref="A1:D4"/>
  <sheetViews>
    <sheetView workbookViewId="0">
      <selection activeCell="N29" sqref="N29"/>
    </sheetView>
  </sheetViews>
  <sheetFormatPr defaultRowHeight="14.5" x14ac:dyDescent="0.35"/>
  <cols>
    <col min="1" max="1" width="8.81640625" bestFit="1" customWidth="1"/>
    <col min="2" max="2" width="14.36328125" bestFit="1" customWidth="1"/>
    <col min="3" max="3" width="15.6328125" bestFit="1" customWidth="1"/>
    <col min="4" max="4" width="29.26953125" bestFit="1" customWidth="1"/>
  </cols>
  <sheetData>
    <row r="1" spans="1:4" x14ac:dyDescent="0.35">
      <c r="A1" t="s">
        <v>62</v>
      </c>
      <c r="B1" t="s">
        <v>63</v>
      </c>
      <c r="C1" t="s">
        <v>36</v>
      </c>
      <c r="D1" t="s">
        <v>64</v>
      </c>
    </row>
    <row r="2" spans="1:4" x14ac:dyDescent="0.35">
      <c r="A2" t="s">
        <v>65</v>
      </c>
      <c r="B2">
        <v>1702</v>
      </c>
      <c r="C2">
        <v>13099443</v>
      </c>
      <c r="D2">
        <v>76965</v>
      </c>
    </row>
    <row r="3" spans="1:4" x14ac:dyDescent="0.35">
      <c r="A3" t="s">
        <v>66</v>
      </c>
      <c r="B3">
        <v>1203</v>
      </c>
      <c r="C3">
        <v>11720280</v>
      </c>
      <c r="D3">
        <v>974254</v>
      </c>
    </row>
    <row r="4" spans="1:4" x14ac:dyDescent="0.35">
      <c r="A4" t="s">
        <v>58</v>
      </c>
      <c r="B4">
        <v>59</v>
      </c>
      <c r="C4">
        <v>902112</v>
      </c>
      <c r="D4">
        <v>1529003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E6341-51B8-4311-AECB-021BB5A68491}">
  <dimension ref="A1:C9"/>
  <sheetViews>
    <sheetView workbookViewId="0">
      <selection activeCell="N6" sqref="N6"/>
    </sheetView>
  </sheetViews>
  <sheetFormatPr defaultRowHeight="14.5" x14ac:dyDescent="0.35"/>
  <cols>
    <col min="1" max="1" width="17.08984375" bestFit="1" customWidth="1"/>
    <col min="2" max="2" width="15.6328125" bestFit="1" customWidth="1"/>
    <col min="3" max="3" width="13" bestFit="1" customWidth="1"/>
  </cols>
  <sheetData>
    <row r="1" spans="1:3" x14ac:dyDescent="0.35">
      <c r="A1" t="s">
        <v>61</v>
      </c>
      <c r="B1" t="s">
        <v>36</v>
      </c>
      <c r="C1" t="s">
        <v>35</v>
      </c>
    </row>
    <row r="2" spans="1:3" x14ac:dyDescent="0.35">
      <c r="A2" s="1">
        <v>45658</v>
      </c>
      <c r="B2">
        <v>3226922</v>
      </c>
      <c r="C2">
        <v>370</v>
      </c>
    </row>
    <row r="3" spans="1:3" x14ac:dyDescent="0.35">
      <c r="A3" s="1">
        <v>45689</v>
      </c>
      <c r="B3">
        <v>2746894</v>
      </c>
      <c r="C3">
        <v>337</v>
      </c>
    </row>
    <row r="4" spans="1:3" x14ac:dyDescent="0.35">
      <c r="A4" s="1">
        <v>45717</v>
      </c>
      <c r="B4">
        <v>3334975</v>
      </c>
      <c r="C4">
        <v>392</v>
      </c>
    </row>
    <row r="5" spans="1:3" x14ac:dyDescent="0.35">
      <c r="A5" s="1">
        <v>45748</v>
      </c>
      <c r="B5">
        <v>4702842</v>
      </c>
      <c r="C5">
        <v>373</v>
      </c>
    </row>
    <row r="6" spans="1:3" x14ac:dyDescent="0.35">
      <c r="A6" s="1">
        <v>45778</v>
      </c>
      <c r="B6">
        <v>2306129</v>
      </c>
      <c r="C6">
        <v>411</v>
      </c>
    </row>
    <row r="7" spans="1:3" x14ac:dyDescent="0.35">
      <c r="A7" s="1">
        <v>45809</v>
      </c>
      <c r="B7">
        <v>3585927</v>
      </c>
      <c r="C7">
        <v>368</v>
      </c>
    </row>
    <row r="8" spans="1:3" x14ac:dyDescent="0.35">
      <c r="A8" s="1">
        <v>45839</v>
      </c>
      <c r="B8">
        <v>4382434</v>
      </c>
      <c r="C8">
        <v>411</v>
      </c>
    </row>
    <row r="9" spans="1:3" x14ac:dyDescent="0.35">
      <c r="A9" s="1">
        <v>45870</v>
      </c>
      <c r="B9">
        <v>1435712</v>
      </c>
      <c r="C9">
        <v>172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11B9-80FF-4ED9-8272-FA62D8CBEF4A}">
  <dimension ref="A1:E11"/>
  <sheetViews>
    <sheetView workbookViewId="0"/>
  </sheetViews>
  <sheetFormatPr defaultRowHeight="14.5" x14ac:dyDescent="0.35"/>
  <cols>
    <col min="1" max="1" width="35.54296875" bestFit="1" customWidth="1"/>
    <col min="2" max="2" width="10.7265625" bestFit="1" customWidth="1"/>
    <col min="3" max="3" width="13.08984375" bestFit="1" customWidth="1"/>
    <col min="4" max="4" width="12.90625" bestFit="1" customWidth="1"/>
    <col min="5" max="5" width="13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t="s">
        <v>5</v>
      </c>
      <c r="B2" t="s">
        <v>6</v>
      </c>
      <c r="C2" t="s">
        <v>7</v>
      </c>
      <c r="D2" t="s">
        <v>8</v>
      </c>
      <c r="E2">
        <v>496445</v>
      </c>
    </row>
    <row r="3" spans="1:5" x14ac:dyDescent="0.35">
      <c r="A3" t="s">
        <v>9</v>
      </c>
      <c r="B3" t="s">
        <v>10</v>
      </c>
      <c r="C3" t="s">
        <v>11</v>
      </c>
      <c r="D3" t="s">
        <v>12</v>
      </c>
      <c r="E3">
        <v>493198</v>
      </c>
    </row>
    <row r="4" spans="1:5" x14ac:dyDescent="0.35">
      <c r="A4" t="s">
        <v>13</v>
      </c>
      <c r="B4" t="s">
        <v>14</v>
      </c>
      <c r="C4" t="s">
        <v>15</v>
      </c>
      <c r="D4" t="s">
        <v>16</v>
      </c>
      <c r="E4">
        <v>493028</v>
      </c>
    </row>
    <row r="5" spans="1:5" x14ac:dyDescent="0.35">
      <c r="A5" t="s">
        <v>17</v>
      </c>
      <c r="B5" t="s">
        <v>18</v>
      </c>
      <c r="C5" t="s">
        <v>19</v>
      </c>
      <c r="D5" t="s">
        <v>16</v>
      </c>
      <c r="E5">
        <v>489316</v>
      </c>
    </row>
    <row r="6" spans="1:5" x14ac:dyDescent="0.35">
      <c r="A6" t="s">
        <v>20</v>
      </c>
      <c r="B6" t="s">
        <v>6</v>
      </c>
      <c r="C6" t="s">
        <v>21</v>
      </c>
      <c r="D6" t="s">
        <v>8</v>
      </c>
      <c r="E6">
        <v>477077</v>
      </c>
    </row>
    <row r="7" spans="1:5" x14ac:dyDescent="0.35">
      <c r="A7" t="s">
        <v>22</v>
      </c>
      <c r="B7" t="s">
        <v>23</v>
      </c>
      <c r="C7" t="s">
        <v>24</v>
      </c>
      <c r="D7" t="s">
        <v>16</v>
      </c>
      <c r="E7">
        <v>470056</v>
      </c>
    </row>
    <row r="8" spans="1:5" x14ac:dyDescent="0.35">
      <c r="A8" t="s">
        <v>25</v>
      </c>
      <c r="B8" t="s">
        <v>26</v>
      </c>
      <c r="C8" t="s">
        <v>27</v>
      </c>
      <c r="D8" t="s">
        <v>8</v>
      </c>
      <c r="E8">
        <v>461948</v>
      </c>
    </row>
    <row r="9" spans="1:5" x14ac:dyDescent="0.35">
      <c r="A9" t="s">
        <v>28</v>
      </c>
      <c r="B9" t="s">
        <v>29</v>
      </c>
      <c r="C9" t="s">
        <v>27</v>
      </c>
      <c r="D9" t="s">
        <v>30</v>
      </c>
      <c r="E9">
        <v>447547</v>
      </c>
    </row>
    <row r="10" spans="1:5" x14ac:dyDescent="0.35">
      <c r="A10" t="s">
        <v>31</v>
      </c>
      <c r="B10" t="s">
        <v>23</v>
      </c>
      <c r="C10" t="s">
        <v>32</v>
      </c>
      <c r="D10" t="s">
        <v>30</v>
      </c>
      <c r="E10">
        <v>447187</v>
      </c>
    </row>
    <row r="11" spans="1:5" x14ac:dyDescent="0.35">
      <c r="A11" t="s">
        <v>33</v>
      </c>
      <c r="B11" t="s">
        <v>34</v>
      </c>
      <c r="C11" t="s">
        <v>7</v>
      </c>
      <c r="D11" t="s">
        <v>8</v>
      </c>
      <c r="E11">
        <v>437831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7D8D2F-705D-4E38-8C2D-AA74E6F8E6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GenreSummary</vt:lpstr>
      <vt:lpstr>CountrySummary</vt:lpstr>
      <vt:lpstr>DevicePerformance</vt:lpstr>
      <vt:lpstr>MonthlyTrend</vt:lpstr>
      <vt:lpstr>TopSpenders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JESSICA  LEO</cp:lastModifiedBy>
  <dcterms:created xsi:type="dcterms:W3CDTF">2015-06-05T18:17:20Z</dcterms:created>
  <dcterms:modified xsi:type="dcterms:W3CDTF">2026-09-05T08:54:20Z</dcterms:modified>
</cp:coreProperties>
</file>